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57079F3-7DE5-45D2-8832-CC5AD749F39B}" xr6:coauthVersionLast="47" xr6:coauthVersionMax="47" xr10:uidLastSave="{00000000-0000-0000-0000-000000000000}"/>
  <bookViews>
    <workbookView xWindow="-108" yWindow="-108" windowWidth="23256" windowHeight="12456" activeTab="18" xr2:uid="{60C2995B-09F9-4C05-9895-67EA7D35AB45}"/>
  </bookViews>
  <sheets>
    <sheet name="Sheet12" sheetId="22" r:id="rId1"/>
    <sheet name="Active number vs churn" sheetId="11" r:id="rId2"/>
    <sheet name="Age group vs churn pivot" sheetId="19" r:id="rId3"/>
    <sheet name="Age group vs churn" sheetId="10" r:id="rId4"/>
    <sheet name="balance vs churn pivot" sheetId="18" r:id="rId5"/>
    <sheet name="balance vs churn" sheetId="9" r:id="rId6"/>
    <sheet name="Sheet7" sheetId="17" r:id="rId7"/>
    <sheet name="country wise churn" sheetId="8" r:id="rId8"/>
    <sheet name="credit card vs churnpivot" sheetId="16" r:id="rId9"/>
    <sheet name="Credit card vs churn" sheetId="7" r:id="rId10"/>
    <sheet name="Gender wise churn pivot" sheetId="15" r:id="rId11"/>
    <sheet name="gender wise churn" sheetId="6" r:id="rId12"/>
    <sheet name="product number vs churnpivot" sheetId="14" r:id="rId13"/>
    <sheet name="product number vs churn" sheetId="5" r:id="rId14"/>
    <sheet name="tenure vs churn pivot" sheetId="13" r:id="rId15"/>
    <sheet name="Tenure vs churn" sheetId="4" r:id="rId16"/>
    <sheet name="tct pivot" sheetId="12" r:id="rId17"/>
    <sheet name="Total churned customers&amp;chrun r" sheetId="3" r:id="rId18"/>
    <sheet name="Dashboard" sheetId="1" r:id="rId19"/>
  </sheets>
  <definedNames>
    <definedName name="ExternalData_1" localSheetId="17" hidden="1">'Total churned customers&amp;chrun r'!$A$1:$B$2</definedName>
    <definedName name="ExternalData_2" localSheetId="15" hidden="1">'Tenure vs churn'!$A$1:$D$12</definedName>
    <definedName name="ExternalData_3" localSheetId="13" hidden="1">'product number vs churn'!$A$1:$D$5</definedName>
    <definedName name="ExternalData_4" localSheetId="11" hidden="1">'gender wise churn'!$A$1:$D$3</definedName>
    <definedName name="ExternalData_5" localSheetId="9" hidden="1">'Credit card vs churn'!$A$1:$D$3</definedName>
    <definedName name="ExternalData_6" localSheetId="7" hidden="1">'country wise churn'!$A$1:$D$4</definedName>
    <definedName name="ExternalData_7" localSheetId="5" hidden="1">'balance vs churn'!$A$1:$D$5</definedName>
    <definedName name="ExternalData_8" localSheetId="3" hidden="1">'Age group vs churn'!$A$1:$D$5</definedName>
    <definedName name="ExternalData_9" localSheetId="1" hidden="1">'Active number vs churn'!$A$1:$D$3</definedName>
  </definedNames>
  <calcPr calcId="191029"/>
  <pivotCaches>
    <pivotCache cacheId="3" r:id="rId20"/>
    <pivotCache cacheId="7" r:id="rId21"/>
    <pivotCache cacheId="12" r:id="rId22"/>
    <pivotCache cacheId="17" r:id="rId23"/>
    <pivotCache cacheId="21" r:id="rId24"/>
    <pivotCache cacheId="25" r:id="rId25"/>
    <pivotCache cacheId="29" r:id="rId26"/>
    <pivotCache cacheId="33" r:id="rId27"/>
    <pivotCache cacheId="38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A8D55D-0B41-4E38-8127-D84170F0A387}" keepAlive="1" name="Query - Active number vs churn" description="Connection to the 'Active number vs churn' query in the workbook." type="5" refreshedVersion="8" background="1" saveData="1">
    <dbPr connection="Provider=Microsoft.Mashup.OleDb.1;Data Source=$Workbook$;Location=&quot;Active number vs churn&quot;;Extended Properties=&quot;&quot;" command="SELECT * FROM [Active number vs churn]"/>
  </connection>
  <connection id="2" xr16:uid="{43F6822A-1323-4CC4-AC63-B24685CCD509}" keepAlive="1" name="Query - Age group vs churn" description="Connection to the 'Age group vs churn' query in the workbook." type="5" refreshedVersion="8" background="1" saveData="1">
    <dbPr connection="Provider=Microsoft.Mashup.OleDb.1;Data Source=$Workbook$;Location=&quot;Age group vs churn&quot;;Extended Properties=&quot;&quot;" command="SELECT * FROM [Age group vs churn]"/>
  </connection>
  <connection id="3" xr16:uid="{A77CF8C2-E7E6-4F4E-BAB7-315777769215}" keepAlive="1" name="Query - balance vs churn" description="Connection to the 'balance vs churn' query in the workbook." type="5" refreshedVersion="8" background="1" saveData="1">
    <dbPr connection="Provider=Microsoft.Mashup.OleDb.1;Data Source=$Workbook$;Location=&quot;balance vs churn&quot;;Extended Properties=&quot;&quot;" command="SELECT * FROM [balance vs churn]"/>
  </connection>
  <connection id="4" xr16:uid="{624567F1-A79F-45F7-8DE6-C8AC840FF1FC}" keepAlive="1" name="Query - country wise churn" description="Connection to the 'country wise churn' query in the workbook." type="5" refreshedVersion="8" background="1" saveData="1">
    <dbPr connection="Provider=Microsoft.Mashup.OleDb.1;Data Source=$Workbook$;Location=&quot;country wise churn&quot;;Extended Properties=&quot;&quot;" command="SELECT * FROM [country wise churn]"/>
  </connection>
  <connection id="5" xr16:uid="{3DA567F0-F298-4EBC-9F30-A1FF7DD24B2F}" keepAlive="1" name="Query - Credit card vs churn" description="Connection to the 'Credit card vs churn' query in the workbook." type="5" refreshedVersion="8" background="1" saveData="1">
    <dbPr connection="Provider=Microsoft.Mashup.OleDb.1;Data Source=$Workbook$;Location=&quot;Credit card vs churn&quot;;Extended Properties=&quot;&quot;" command="SELECT * FROM [Credit card vs churn]"/>
  </connection>
  <connection id="6" xr16:uid="{A0D257AD-BF60-42A4-8A86-A9EDFAD3CC7B}" keepAlive="1" name="Query - gender wise churn" description="Connection to the 'gender wise churn' query in the workbook." type="5" refreshedVersion="8" background="1" saveData="1">
    <dbPr connection="Provider=Microsoft.Mashup.OleDb.1;Data Source=$Workbook$;Location=&quot;gender wise churn&quot;;Extended Properties=&quot;&quot;" command="SELECT * FROM [gender wise churn]"/>
  </connection>
  <connection id="7" xr16:uid="{69DA6EA6-DD13-4B22-B8A8-1D025C40FA76}" keepAlive="1" name="Query - product number vs churn" description="Connection to the 'product number vs churn' query in the workbook." type="5" refreshedVersion="8" background="1" saveData="1">
    <dbPr connection="Provider=Microsoft.Mashup.OleDb.1;Data Source=$Workbook$;Location=&quot;product number vs churn&quot;;Extended Properties=&quot;&quot;" command="SELECT * FROM [product number vs churn]"/>
  </connection>
  <connection id="8" xr16:uid="{D74D3411-3E9F-40C2-8716-BE0F2B0F50AE}" keepAlive="1" name="Query - Tenure vs churn" description="Connection to the 'Tenure vs churn' query in the workbook." type="5" refreshedVersion="8" background="1" saveData="1">
    <dbPr connection="Provider=Microsoft.Mashup.OleDb.1;Data Source=$Workbook$;Location=&quot;Tenure vs churn&quot;;Extended Properties=&quot;&quot;" command="SELECT * FROM [Tenure vs churn]"/>
  </connection>
  <connection id="9" xr16:uid="{0637CED4-A5FE-452D-B039-459B7A99413B}" keepAlive="1" name="Query - Total churned customers&amp;chrun rate" description="Connection to the 'Total churned customers&amp;chrun rate' query in the workbook." type="5" refreshedVersion="0" background="1">
    <dbPr connection="Provider=Microsoft.Mashup.OleDb.1;Data Source=$Workbook$;Location=&quot;Total churned customers&amp;chrun rate&quot;;Extended Properties=&quot;&quot;" command="SELECT * FROM [Total churned customers&amp;chrun rate]"/>
  </connection>
  <connection id="10" xr16:uid="{064AEFD1-680A-4131-846F-7E3964126471}" keepAlive="1" name="Query - Total churned customers&amp;chrun rate (2)" description="Connection to the 'Total churned customers&amp;chrun rate (2)' query in the workbook." type="5" refreshedVersion="8" background="1" saveData="1">
    <dbPr connection="Provider=Microsoft.Mashup.OleDb.1;Data Source=$Workbook$;Location=&quot;Total churned customers&amp;chrun rate (2)&quot;;Extended Properties=&quot;&quot;" command="SELECT * FROM [Total churned customers&amp;chrun rate (2)]"/>
  </connection>
</connections>
</file>

<file path=xl/sharedStrings.xml><?xml version="1.0" encoding="utf-8"?>
<sst xmlns="http://schemas.openxmlformats.org/spreadsheetml/2006/main" count="102" uniqueCount="35">
  <si>
    <t>total_churned</t>
  </si>
  <si>
    <t>churn_rate_percentage</t>
  </si>
  <si>
    <t>tenure</t>
  </si>
  <si>
    <t>total_customers</t>
  </si>
  <si>
    <t>churn_rate</t>
  </si>
  <si>
    <t>products_number</t>
  </si>
  <si>
    <t>churned</t>
  </si>
  <si>
    <t>gender</t>
  </si>
  <si>
    <t>Female</t>
  </si>
  <si>
    <t>Male</t>
  </si>
  <si>
    <t>credit_card</t>
  </si>
  <si>
    <t>country</t>
  </si>
  <si>
    <t>Germany</t>
  </si>
  <si>
    <t>Spain</t>
  </si>
  <si>
    <t>France</t>
  </si>
  <si>
    <t>balance_range</t>
  </si>
  <si>
    <t>&lt;50k</t>
  </si>
  <si>
    <t>&gt;2L</t>
  </si>
  <si>
    <t>1L-2L</t>
  </si>
  <si>
    <t>50k-1L</t>
  </si>
  <si>
    <t>age_group</t>
  </si>
  <si>
    <t>&lt;30</t>
  </si>
  <si>
    <t>&gt;60</t>
  </si>
  <si>
    <t>30-45</t>
  </si>
  <si>
    <t>46-60</t>
  </si>
  <si>
    <t>active_member</t>
  </si>
  <si>
    <t>Row Labels</t>
  </si>
  <si>
    <t>Grand Total</t>
  </si>
  <si>
    <t>Sum of churn_rate_percentage</t>
  </si>
  <si>
    <t>Sum of total_churned</t>
  </si>
  <si>
    <t>Sum of total_customers</t>
  </si>
  <si>
    <t>Sum of churn_rate</t>
  </si>
  <si>
    <t>Sum of churned</t>
  </si>
  <si>
    <t/>
  </si>
  <si>
    <t>Bank Customer Churn Prediction &amp;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</si>
</sst>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6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pivotCacheDefinition" Target="pivotCache/pivotCacheDefinition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pivotCacheDefinition" Target="pivotCache/pivotCacheDefinition8.xml"/><Relationship Id="rId30" Type="http://schemas.openxmlformats.org/officeDocument/2006/relationships/connections" Target="connection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dashboard.xlsx]Sheet12!PivotTable10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Active</a:t>
            </a:r>
            <a:r>
              <a:rPr lang="en-IN" baseline="0"/>
              <a:t> number vs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Sum of total_customers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Sheet12!$A$4:$A$6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Sheet12!$B$4:$B$6</c:f>
              <c:numCache>
                <c:formatCode>General</c:formatCode>
                <c:ptCount val="2"/>
                <c:pt idx="0">
                  <c:v>4849</c:v>
                </c:pt>
                <c:pt idx="1">
                  <c:v>5151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D-478F-9492-5CD3C2356285}"/>
            </c:ext>
          </c:extLst>
        </c:ser>
        <c:ser>
          <c:idx val="1"/>
          <c:order val="1"/>
          <c:tx>
            <c:strRef>
              <c:f>Sheet12!$C$3</c:f>
              <c:strCache>
                <c:ptCount val="1"/>
                <c:pt idx="0">
                  <c:v>Sum of 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Sheet12!$A$4:$A$6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Sheet12!$C$4:$C$6</c:f>
              <c:numCache>
                <c:formatCode>General</c:formatCode>
                <c:ptCount val="2"/>
                <c:pt idx="0">
                  <c:v>1302</c:v>
                </c:pt>
                <c:pt idx="1">
                  <c:v>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D-478F-9492-5CD3C2356285}"/>
            </c:ext>
          </c:extLst>
        </c:ser>
        <c:ser>
          <c:idx val="2"/>
          <c:order val="2"/>
          <c:tx>
            <c:strRef>
              <c:f>Sheet12!$D$3</c:f>
              <c:strCache>
                <c:ptCount val="1"/>
                <c:pt idx="0">
                  <c:v>Sum of churn_rate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Sheet12!$A$4:$A$6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Sheet12!$D$4:$D$6</c:f>
              <c:numCache>
                <c:formatCode>General</c:formatCode>
                <c:ptCount val="2"/>
                <c:pt idx="0">
                  <c:v>26.85</c:v>
                </c:pt>
                <c:pt idx="1">
                  <c:v>14.27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D-478F-9492-5CD3C2356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9085199"/>
        <c:axId val="1059081839"/>
        <c:axId val="0"/>
      </c:bar3DChart>
      <c:catAx>
        <c:axId val="1059085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081839"/>
        <c:crosses val="autoZero"/>
        <c:auto val="1"/>
        <c:lblAlgn val="ctr"/>
        <c:lblOffset val="100"/>
        <c:noMultiLvlLbl val="0"/>
      </c:catAx>
      <c:valAx>
        <c:axId val="105908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08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dashboard.xlsx]Age group vs churn pivot!PivotTable8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Age</a:t>
            </a:r>
            <a:r>
              <a:rPr lang="en-IN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 Group vs churn</a:t>
            </a:r>
            <a:endParaRPr lang="en-IN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'Age group vs churn pivot'!$B$3</c:f>
              <c:strCache>
                <c:ptCount val="1"/>
                <c:pt idx="0">
                  <c:v>Sum of total_customers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group vs churn pivot'!$A$4:$A$8</c:f>
              <c:strCache>
                <c:ptCount val="4"/>
                <c:pt idx="0">
                  <c:v>&lt;30</c:v>
                </c:pt>
                <c:pt idx="1">
                  <c:v>&gt;60</c:v>
                </c:pt>
                <c:pt idx="2">
                  <c:v>30-45</c:v>
                </c:pt>
                <c:pt idx="3">
                  <c:v>46-60</c:v>
                </c:pt>
              </c:strCache>
            </c:strRef>
          </c:cat>
          <c:val>
            <c:numRef>
              <c:f>'Age group vs churn pivot'!$B$4:$B$8</c:f>
              <c:numCache>
                <c:formatCode>General</c:formatCode>
                <c:ptCount val="4"/>
                <c:pt idx="0">
                  <c:v>1641</c:v>
                </c:pt>
                <c:pt idx="1">
                  <c:v>464</c:v>
                </c:pt>
                <c:pt idx="2">
                  <c:v>6248</c:v>
                </c:pt>
                <c:pt idx="3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E-4C8A-9D1D-B14BD51571DA}"/>
            </c:ext>
          </c:extLst>
        </c:ser>
        <c:ser>
          <c:idx val="1"/>
          <c:order val="1"/>
          <c:tx>
            <c:strRef>
              <c:f>'Age group vs churn pivot'!$C$3</c:f>
              <c:strCache>
                <c:ptCount val="1"/>
                <c:pt idx="0">
                  <c:v>Sum of churned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group vs churn pivot'!$A$4:$A$8</c:f>
              <c:strCache>
                <c:ptCount val="4"/>
                <c:pt idx="0">
                  <c:v>&lt;30</c:v>
                </c:pt>
                <c:pt idx="1">
                  <c:v>&gt;60</c:v>
                </c:pt>
                <c:pt idx="2">
                  <c:v>30-45</c:v>
                </c:pt>
                <c:pt idx="3">
                  <c:v>46-60</c:v>
                </c:pt>
              </c:strCache>
            </c:strRef>
          </c:cat>
          <c:val>
            <c:numRef>
              <c:f>'Age group vs churn pivot'!$C$4:$C$8</c:f>
              <c:numCache>
                <c:formatCode>General</c:formatCode>
                <c:ptCount val="4"/>
                <c:pt idx="0">
                  <c:v>124</c:v>
                </c:pt>
                <c:pt idx="1">
                  <c:v>115</c:v>
                </c:pt>
                <c:pt idx="2">
                  <c:v>956</c:v>
                </c:pt>
                <c:pt idx="3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AE-4C8A-9D1D-B14BD51571DA}"/>
            </c:ext>
          </c:extLst>
        </c:ser>
        <c:ser>
          <c:idx val="2"/>
          <c:order val="2"/>
          <c:tx>
            <c:strRef>
              <c:f>'Age group vs churn pivot'!$D$3</c:f>
              <c:strCache>
                <c:ptCount val="1"/>
                <c:pt idx="0">
                  <c:v>Sum of churn_rate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group vs churn pivot'!$A$4:$A$8</c:f>
              <c:strCache>
                <c:ptCount val="4"/>
                <c:pt idx="0">
                  <c:v>&lt;30</c:v>
                </c:pt>
                <c:pt idx="1">
                  <c:v>&gt;60</c:v>
                </c:pt>
                <c:pt idx="2">
                  <c:v>30-45</c:v>
                </c:pt>
                <c:pt idx="3">
                  <c:v>46-60</c:v>
                </c:pt>
              </c:strCache>
            </c:strRef>
          </c:cat>
          <c:val>
            <c:numRef>
              <c:f>'Age group vs churn pivot'!$D$4:$D$8</c:f>
              <c:numCache>
                <c:formatCode>General</c:formatCode>
                <c:ptCount val="4"/>
                <c:pt idx="0">
                  <c:v>7.56</c:v>
                </c:pt>
                <c:pt idx="1">
                  <c:v>24.78</c:v>
                </c:pt>
                <c:pt idx="2">
                  <c:v>15.3</c:v>
                </c:pt>
                <c:pt idx="3">
                  <c:v>51.12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AE-4C8A-9D1D-B14BD51571D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dashboard.xlsx]balance vs churn pivot!PivotTable7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Balance</a:t>
            </a:r>
            <a:r>
              <a:rPr lang="en-IN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 vs churn</a:t>
            </a:r>
            <a:endParaRPr lang="en-IN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'balance vs churn pivot'!$B$3</c:f>
              <c:strCache>
                <c:ptCount val="1"/>
                <c:pt idx="0">
                  <c:v>Sum of total_customers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521-4BA7-9F4C-07642C9879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'balance vs churn pivot'!$A$4:$A$8</c:f>
              <c:strCache>
                <c:ptCount val="4"/>
                <c:pt idx="0">
                  <c:v>&lt;50k</c:v>
                </c:pt>
                <c:pt idx="1">
                  <c:v>&gt;2L</c:v>
                </c:pt>
                <c:pt idx="2">
                  <c:v>1L-2L</c:v>
                </c:pt>
                <c:pt idx="3">
                  <c:v>50k-1L</c:v>
                </c:pt>
              </c:strCache>
            </c:strRef>
          </c:cat>
          <c:val>
            <c:numRef>
              <c:f>'balance vs churn pivot'!$B$4:$B$8</c:f>
              <c:numCache>
                <c:formatCode>General</c:formatCode>
                <c:ptCount val="4"/>
                <c:pt idx="0">
                  <c:v>3692</c:v>
                </c:pt>
                <c:pt idx="1">
                  <c:v>34</c:v>
                </c:pt>
                <c:pt idx="2">
                  <c:v>4765</c:v>
                </c:pt>
                <c:pt idx="3">
                  <c:v>1509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1-4BA7-9F4C-07642C9879FA}"/>
            </c:ext>
          </c:extLst>
        </c:ser>
        <c:ser>
          <c:idx val="1"/>
          <c:order val="1"/>
          <c:tx>
            <c:strRef>
              <c:f>'balance vs churn pivot'!$C$3</c:f>
              <c:strCache>
                <c:ptCount val="1"/>
                <c:pt idx="0">
                  <c:v>Sum of churned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'balance vs churn pivot'!$A$4:$A$8</c:f>
              <c:strCache>
                <c:ptCount val="4"/>
                <c:pt idx="0">
                  <c:v>&lt;50k</c:v>
                </c:pt>
                <c:pt idx="1">
                  <c:v>&gt;2L</c:v>
                </c:pt>
                <c:pt idx="2">
                  <c:v>1L-2L</c:v>
                </c:pt>
                <c:pt idx="3">
                  <c:v>50k-1L</c:v>
                </c:pt>
              </c:strCache>
            </c:strRef>
          </c:cat>
          <c:val>
            <c:numRef>
              <c:f>'balance vs churn pivot'!$C$4:$C$8</c:f>
              <c:numCache>
                <c:formatCode>General</c:formatCode>
                <c:ptCount val="4"/>
                <c:pt idx="0">
                  <c:v>526</c:v>
                </c:pt>
                <c:pt idx="1">
                  <c:v>19</c:v>
                </c:pt>
                <c:pt idx="2">
                  <c:v>1192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1-4BA7-9F4C-07642C9879FA}"/>
            </c:ext>
          </c:extLst>
        </c:ser>
        <c:ser>
          <c:idx val="2"/>
          <c:order val="2"/>
          <c:tx>
            <c:strRef>
              <c:f>'balance vs churn pivot'!$D$3</c:f>
              <c:strCache>
                <c:ptCount val="1"/>
                <c:pt idx="0">
                  <c:v>Sum of churn_rate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'balance vs churn pivot'!$A$4:$A$8</c:f>
              <c:strCache>
                <c:ptCount val="4"/>
                <c:pt idx="0">
                  <c:v>&lt;50k</c:v>
                </c:pt>
                <c:pt idx="1">
                  <c:v>&gt;2L</c:v>
                </c:pt>
                <c:pt idx="2">
                  <c:v>1L-2L</c:v>
                </c:pt>
                <c:pt idx="3">
                  <c:v>50k-1L</c:v>
                </c:pt>
              </c:strCache>
            </c:strRef>
          </c:cat>
          <c:val>
            <c:numRef>
              <c:f>'balance vs churn pivot'!$D$4:$D$8</c:f>
              <c:numCache>
                <c:formatCode>General</c:formatCode>
                <c:ptCount val="4"/>
                <c:pt idx="0">
                  <c:v>14.25</c:v>
                </c:pt>
                <c:pt idx="1">
                  <c:v>55.88</c:v>
                </c:pt>
                <c:pt idx="2">
                  <c:v>25.02</c:v>
                </c:pt>
                <c:pt idx="3">
                  <c:v>19.88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21-4BA7-9F4C-07642C987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dashboard.xlsx]Sheet7!PivotTable6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Country</a:t>
            </a:r>
            <a:r>
              <a:rPr lang="en-IN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 wise churn</a:t>
            </a:r>
            <a:endParaRPr lang="en-IN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total_customers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Sheet7!$A$4:$A$7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5014</c:v>
                </c:pt>
                <c:pt idx="1">
                  <c:v>2509</c:v>
                </c:pt>
                <c:pt idx="2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A-4435-AC43-B5A0C2E2F022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Sheet7!$A$4:$A$7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Sheet7!$C$4:$C$7</c:f>
              <c:numCache>
                <c:formatCode>General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A-4435-AC43-B5A0C2E2F022}"/>
            </c:ext>
          </c:extLst>
        </c:ser>
        <c:ser>
          <c:idx val="2"/>
          <c:order val="2"/>
          <c:tx>
            <c:strRef>
              <c:f>Sheet7!$D$3</c:f>
              <c:strCache>
                <c:ptCount val="1"/>
                <c:pt idx="0">
                  <c:v>Sum of churn_rate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Sheet7!$A$4:$A$7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Sheet7!$D$4:$D$7</c:f>
              <c:numCache>
                <c:formatCode>General</c:formatCode>
                <c:ptCount val="3"/>
                <c:pt idx="0">
                  <c:v>16.149999999999999</c:v>
                </c:pt>
                <c:pt idx="1">
                  <c:v>32.44</c:v>
                </c:pt>
                <c:pt idx="2">
                  <c:v>16.670000000000002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5A-4435-AC43-B5A0C2E2F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4493663"/>
        <c:axId val="924489823"/>
        <c:axId val="0"/>
      </c:bar3DChart>
      <c:catAx>
        <c:axId val="92449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89823"/>
        <c:crosses val="autoZero"/>
        <c:auto val="1"/>
        <c:lblAlgn val="ctr"/>
        <c:lblOffset val="100"/>
        <c:noMultiLvlLbl val="0"/>
      </c:catAx>
      <c:valAx>
        <c:axId val="92448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9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dashboard.xlsx]credit card vs churnpivot!PivotTable5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Credit</a:t>
            </a:r>
            <a:r>
              <a:rPr lang="en-IN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 card vs churn</a:t>
            </a:r>
            <a:endParaRPr lang="en-IN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691426071741032"/>
          <c:y val="0.102762690603145"/>
          <c:w val="0.78200109361329839"/>
          <c:h val="0.818526538349372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'credit card vs churnpivot'!$B$3</c:f>
              <c:strCache>
                <c:ptCount val="1"/>
                <c:pt idx="0">
                  <c:v>Sum of total_customers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8E3-4F14-9D73-F9457256CEF9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E3-4F14-9D73-F9457256CE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card vs churnpivot'!$A$4:$A$6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'credit card vs churnpivot'!$B$4:$B$6</c:f>
              <c:numCache>
                <c:formatCode>General</c:formatCode>
                <c:ptCount val="2"/>
                <c:pt idx="0">
                  <c:v>2945</c:v>
                </c:pt>
                <c:pt idx="1">
                  <c:v>7055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3-4F14-9D73-F9457256CEF9}"/>
            </c:ext>
          </c:extLst>
        </c:ser>
        <c:ser>
          <c:idx val="1"/>
          <c:order val="1"/>
          <c:tx>
            <c:strRef>
              <c:f>'credit card vs churnpivot'!$C$3</c:f>
              <c:strCache>
                <c:ptCount val="1"/>
                <c:pt idx="0">
                  <c:v>Sum of 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card vs churnpivot'!$A$4:$A$6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'credit card vs churnpivot'!$C$4:$C$6</c:f>
              <c:numCache>
                <c:formatCode>General</c:formatCode>
                <c:ptCount val="2"/>
                <c:pt idx="0">
                  <c:v>613</c:v>
                </c:pt>
                <c:pt idx="1">
                  <c:v>1424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E3-4F14-9D73-F9457256CE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76275759"/>
        <c:axId val="476276239"/>
      </c:barChart>
      <c:lineChart>
        <c:grouping val="standard"/>
        <c:varyColors val="0"/>
        <c:ser>
          <c:idx val="2"/>
          <c:order val="2"/>
          <c:tx>
            <c:strRef>
              <c:f>'credit card vs churnpivot'!$D$3</c:f>
              <c:strCache>
                <c:ptCount val="1"/>
                <c:pt idx="0">
                  <c:v>Sum of churn_rate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card vs churnpivot'!$A$4:$A$6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'credit card vs churnpivot'!$D$4:$D$6</c:f>
              <c:numCache>
                <c:formatCode>General</c:formatCode>
                <c:ptCount val="2"/>
                <c:pt idx="0">
                  <c:v>20.81</c:v>
                </c:pt>
                <c:pt idx="1">
                  <c:v>20.18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E3-4F14-9D73-F9457256CE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76275759"/>
        <c:axId val="476276239"/>
      </c:lineChart>
      <c:catAx>
        <c:axId val="4762757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6276239"/>
        <c:auto val="1"/>
        <c:lblAlgn val="ctr"/>
        <c:lblOffset val="100"/>
        <c:noMultiLvlLbl val="0"/>
      </c:catAx>
      <c:valAx>
        <c:axId val="4762762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6275759"/>
        <c:crossBetween val="between"/>
      </c:valAx>
      <c:spPr>
        <a:solidFill>
          <a:srgbClr val="92D050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dashboard.xlsx]Gender wise churn pivot!PivotTable4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Gender</a:t>
            </a:r>
            <a:r>
              <a:rPr lang="en-IN" baseline="0"/>
              <a:t> </a:t>
            </a:r>
            <a:r>
              <a:rPr lang="en-IN" b="1" baseline="0">
                <a:solidFill>
                  <a:sysClr val="windowText" lastClr="000000"/>
                </a:solidFill>
              </a:rPr>
              <a:t>wise</a:t>
            </a:r>
            <a:r>
              <a:rPr lang="en-IN" baseline="0"/>
              <a:t> </a:t>
            </a:r>
            <a:r>
              <a:rPr lang="en-IN" b="1" baseline="0">
                <a:solidFill>
                  <a:schemeClr val="tx1"/>
                </a:solidFill>
              </a:rPr>
              <a:t>churn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'Gender wise churn pivot'!$B$3</c:f>
              <c:strCache>
                <c:ptCount val="1"/>
                <c:pt idx="0">
                  <c:v>Sum of total_churned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wise churn pivot'!$A$4:$A$6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wise churn pivot'!$B$4:$B$6</c:f>
              <c:numCache>
                <c:formatCode>General</c:formatCode>
                <c:ptCount val="2"/>
                <c:pt idx="0">
                  <c:v>1139</c:v>
                </c:pt>
                <c:pt idx="1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E-4E2C-AB9A-ED578BCBEDBB}"/>
            </c:ext>
          </c:extLst>
        </c:ser>
        <c:ser>
          <c:idx val="1"/>
          <c:order val="1"/>
          <c:tx>
            <c:strRef>
              <c:f>'Gender wise churn pivot'!$C$3</c:f>
              <c:strCache>
                <c:ptCount val="1"/>
                <c:pt idx="0">
                  <c:v>Sum of total_customers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wise churn pivot'!$A$4:$A$6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wise churn pivot'!$C$4:$C$6</c:f>
              <c:numCache>
                <c:formatCode>General</c:formatCode>
                <c:ptCount val="2"/>
                <c:pt idx="0">
                  <c:v>4543</c:v>
                </c:pt>
                <c:pt idx="1">
                  <c:v>5457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9E-4E2C-AB9A-ED578BCBEDB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dashboard.xlsx]product number vs churnpivot!PivotTable3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Product</a:t>
            </a:r>
            <a:r>
              <a:rPr lang="en-US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 number vs churn</a:t>
            </a:r>
            <a:endParaRPr lang="en-US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rgbClr val="FF0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'product number vs churnpivot'!$B$3</c:f>
              <c:strCache>
                <c:ptCount val="1"/>
                <c:pt idx="0">
                  <c:v>Sum of total_customers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tx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1E9C-4663-9430-29370AB240D8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E9C-4663-9430-29370AB240D8}"/>
              </c:ext>
            </c:extLst>
          </c:dPt>
          <c:cat>
            <c:strRef>
              <c:f>'product number vs churnpivot'!$A$4:$A$8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'product number vs churnpivot'!$B$4:$B$8</c:f>
              <c:numCache>
                <c:formatCode>General</c:formatCode>
                <c:ptCount val="4"/>
                <c:pt idx="0">
                  <c:v>5084</c:v>
                </c:pt>
                <c:pt idx="1">
                  <c:v>4590</c:v>
                </c:pt>
                <c:pt idx="2">
                  <c:v>266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C-4663-9430-29370AB240D8}"/>
            </c:ext>
          </c:extLst>
        </c:ser>
        <c:ser>
          <c:idx val="1"/>
          <c:order val="1"/>
          <c:tx>
            <c:strRef>
              <c:f>'product number vs churnpivot'!$C$3</c:f>
              <c:strCache>
                <c:ptCount val="1"/>
                <c:pt idx="0">
                  <c:v>Sum of churned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'product number vs churnpivot'!$A$4:$A$8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'product number vs churnpivot'!$C$4:$C$8</c:f>
              <c:numCache>
                <c:formatCode>General</c:formatCode>
                <c:ptCount val="4"/>
                <c:pt idx="0">
                  <c:v>1409</c:v>
                </c:pt>
                <c:pt idx="1">
                  <c:v>348</c:v>
                </c:pt>
                <c:pt idx="2">
                  <c:v>220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C-4663-9430-29370AB240D8}"/>
            </c:ext>
          </c:extLst>
        </c:ser>
        <c:ser>
          <c:idx val="2"/>
          <c:order val="2"/>
          <c:tx>
            <c:strRef>
              <c:f>'product number vs churnpivot'!$D$3</c:f>
              <c:strCache>
                <c:ptCount val="1"/>
                <c:pt idx="0">
                  <c:v>Sum of churn_rate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'product number vs churnpivot'!$A$4:$A$8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'product number vs churnpivot'!$D$4:$D$8</c:f>
              <c:numCache>
                <c:formatCode>General</c:formatCode>
                <c:ptCount val="4"/>
                <c:pt idx="0">
                  <c:v>27.71</c:v>
                </c:pt>
                <c:pt idx="1">
                  <c:v>7.58</c:v>
                </c:pt>
                <c:pt idx="2">
                  <c:v>82.71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9C-4663-9430-29370AB24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dashboard.xlsx]tenure vs churn pivot!PivotTable2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Tenure</a:t>
            </a:r>
            <a:r>
              <a:rPr lang="en-IN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 vs churn</a:t>
            </a:r>
            <a:endParaRPr lang="en-IN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'tenure vs churn pivot'!$B$3</c:f>
              <c:strCache>
                <c:ptCount val="1"/>
                <c:pt idx="0">
                  <c:v>Sum of total_customers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cat>
            <c:strRef>
              <c:f>'tenure vs churn pivot'!$A$4:$A$15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'tenure vs churn pivot'!$B$4:$B$15</c:f>
              <c:numCache>
                <c:formatCode>General</c:formatCode>
                <c:ptCount val="11"/>
                <c:pt idx="0">
                  <c:v>413</c:v>
                </c:pt>
                <c:pt idx="1">
                  <c:v>1035</c:v>
                </c:pt>
                <c:pt idx="2">
                  <c:v>1048</c:v>
                </c:pt>
                <c:pt idx="3">
                  <c:v>1009</c:v>
                </c:pt>
                <c:pt idx="4">
                  <c:v>989</c:v>
                </c:pt>
                <c:pt idx="5">
                  <c:v>1012</c:v>
                </c:pt>
                <c:pt idx="6">
                  <c:v>967</c:v>
                </c:pt>
                <c:pt idx="7">
                  <c:v>1028</c:v>
                </c:pt>
                <c:pt idx="8">
                  <c:v>1025</c:v>
                </c:pt>
                <c:pt idx="9">
                  <c:v>984</c:v>
                </c:pt>
                <c:pt idx="10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B-40A7-8E75-3AA8F886CEB7}"/>
            </c:ext>
          </c:extLst>
        </c:ser>
        <c:ser>
          <c:idx val="1"/>
          <c:order val="1"/>
          <c:tx>
            <c:strRef>
              <c:f>'tenure vs churn pivot'!$C$3</c:f>
              <c:strCache>
                <c:ptCount val="1"/>
                <c:pt idx="0">
                  <c:v>Sum of churn_rate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'tenure vs churn pivot'!$A$4:$A$15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'tenure vs churn pivot'!$C$4:$C$15</c:f>
              <c:numCache>
                <c:formatCode>General</c:formatCode>
                <c:ptCount val="11"/>
                <c:pt idx="0">
                  <c:v>23</c:v>
                </c:pt>
                <c:pt idx="1">
                  <c:v>22.42</c:v>
                </c:pt>
                <c:pt idx="2">
                  <c:v>19.18</c:v>
                </c:pt>
                <c:pt idx="3">
                  <c:v>21.11</c:v>
                </c:pt>
                <c:pt idx="4">
                  <c:v>20.53</c:v>
                </c:pt>
                <c:pt idx="5">
                  <c:v>20.65</c:v>
                </c:pt>
                <c:pt idx="6">
                  <c:v>20.27</c:v>
                </c:pt>
                <c:pt idx="7">
                  <c:v>17.22</c:v>
                </c:pt>
                <c:pt idx="8">
                  <c:v>19.22</c:v>
                </c:pt>
                <c:pt idx="9">
                  <c:v>21.65</c:v>
                </c:pt>
                <c:pt idx="10">
                  <c:v>20.61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FB-40A7-8E75-3AA8F886CEB7}"/>
            </c:ext>
          </c:extLst>
        </c:ser>
        <c:ser>
          <c:idx val="2"/>
          <c:order val="2"/>
          <c:tx>
            <c:strRef>
              <c:f>'tenure vs churn pivot'!$D$3</c:f>
              <c:strCache>
                <c:ptCount val="1"/>
                <c:pt idx="0">
                  <c:v>Sum of total_churned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strRef>
              <c:f>'tenure vs churn pivot'!$A$4:$A$15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'tenure vs churn pivot'!$D$4:$D$15</c:f>
              <c:numCache>
                <c:formatCode>General</c:formatCode>
                <c:ptCount val="11"/>
                <c:pt idx="0">
                  <c:v>95</c:v>
                </c:pt>
                <c:pt idx="1">
                  <c:v>232</c:v>
                </c:pt>
                <c:pt idx="2">
                  <c:v>201</c:v>
                </c:pt>
                <c:pt idx="3">
                  <c:v>213</c:v>
                </c:pt>
                <c:pt idx="4">
                  <c:v>203</c:v>
                </c:pt>
                <c:pt idx="5">
                  <c:v>209</c:v>
                </c:pt>
                <c:pt idx="6">
                  <c:v>196</c:v>
                </c:pt>
                <c:pt idx="7">
                  <c:v>177</c:v>
                </c:pt>
                <c:pt idx="8">
                  <c:v>197</c:v>
                </c:pt>
                <c:pt idx="9">
                  <c:v>213</c:v>
                </c:pt>
                <c:pt idx="1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FB-40A7-8E75-3AA8F886C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8933775"/>
        <c:axId val="918934255"/>
        <c:axId val="0"/>
      </c:bar3DChart>
      <c:catAx>
        <c:axId val="91893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934255"/>
        <c:crosses val="autoZero"/>
        <c:auto val="1"/>
        <c:lblAlgn val="ctr"/>
        <c:lblOffset val="100"/>
        <c:noMultiLvlLbl val="0"/>
      </c:catAx>
      <c:valAx>
        <c:axId val="91893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93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dashboard.xlsx]tct 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accent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n>
                  <a:solidFill>
                    <a:schemeClr val="accent1"/>
                  </a:solidFill>
                </a:ln>
              </a:rPr>
              <a:t>Total</a:t>
            </a:r>
            <a:r>
              <a:rPr lang="en-IN" b="1" baseline="0">
                <a:ln>
                  <a:solidFill>
                    <a:schemeClr val="accent1"/>
                  </a:solidFill>
                </a:ln>
              </a:rPr>
              <a:t> Churned Customers &amp; Churn Rate</a:t>
            </a:r>
            <a:endParaRPr lang="en-IN" b="1">
              <a:ln>
                <a:solidFill>
                  <a:schemeClr val="accent1"/>
                </a:solidFill>
              </a:ln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accent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'tct pivot'!$A$3</c:f>
              <c:strCache>
                <c:ptCount val="1"/>
                <c:pt idx="0">
                  <c:v>Sum of churn_rate_percentage</c:v>
                </c:pt>
              </c:strCache>
            </c:strRef>
          </c:tx>
          <c:spPr>
            <a:solidFill>
              <a:schemeClr val="accent1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cat>
            <c:strRef>
              <c:f>'tct pivot'!$A$4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'tct pivot'!$A$4</c:f>
              <c:numCache>
                <c:formatCode>General</c:formatCode>
                <c:ptCount val="1"/>
                <c:pt idx="0">
                  <c:v>20.37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2-46BC-958C-5798D6032DCC}"/>
            </c:ext>
          </c:extLst>
        </c:ser>
        <c:ser>
          <c:idx val="1"/>
          <c:order val="1"/>
          <c:tx>
            <c:strRef>
              <c:f>'tct pivot'!$B$3</c:f>
              <c:strCache>
                <c:ptCount val="1"/>
                <c:pt idx="0">
                  <c:v>Sum of total_churned</c:v>
                </c:pt>
              </c:strCache>
            </c:strRef>
          </c:tx>
          <c:spPr>
            <a:solidFill>
              <a:schemeClr val="accent2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cat>
            <c:strRef>
              <c:f>'tct pivot'!$A$4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'tct pivot'!$B$4</c:f>
              <c:numCache>
                <c:formatCode>General</c:formatCode>
                <c:ptCount val="1"/>
                <c:pt idx="0">
                  <c:v>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22-46BC-958C-5798D6032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9817023"/>
        <c:axId val="919814623"/>
        <c:axId val="0"/>
      </c:bar3DChart>
      <c:catAx>
        <c:axId val="9198170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14623"/>
        <c:auto val="1"/>
        <c:lblAlgn val="ctr"/>
        <c:lblOffset val="100"/>
        <c:noMultiLvlLbl val="0"/>
      </c:catAx>
      <c:valAx>
        <c:axId val="919814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17023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dashboard.xlsx]tct pivot!PivotTable1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accent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n>
                  <a:solidFill>
                    <a:schemeClr val="accent1"/>
                  </a:solidFill>
                </a:ln>
              </a:rPr>
              <a:t>Total</a:t>
            </a:r>
            <a:r>
              <a:rPr lang="en-IN" b="1" baseline="0">
                <a:ln>
                  <a:solidFill>
                    <a:schemeClr val="accent1"/>
                  </a:solidFill>
                </a:ln>
              </a:rPr>
              <a:t> Churned Customers &amp; Churn Rate</a:t>
            </a:r>
            <a:endParaRPr lang="en-IN" b="1">
              <a:ln>
                <a:solidFill>
                  <a:schemeClr val="accent1"/>
                </a:solidFill>
              </a:ln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accent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'tct pivot'!$A$3</c:f>
              <c:strCache>
                <c:ptCount val="1"/>
                <c:pt idx="0">
                  <c:v>Sum of churn_rate_percentage</c:v>
                </c:pt>
              </c:strCache>
            </c:strRef>
          </c:tx>
          <c:spPr>
            <a:solidFill>
              <a:schemeClr val="accent1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cat>
            <c:strRef>
              <c:f>'tct pivot'!$A$4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'tct pivot'!$A$4</c:f>
              <c:numCache>
                <c:formatCode>General</c:formatCode>
                <c:ptCount val="1"/>
                <c:pt idx="0">
                  <c:v>20.37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5-4500-A415-998567F1DE5A}"/>
            </c:ext>
          </c:extLst>
        </c:ser>
        <c:ser>
          <c:idx val="1"/>
          <c:order val="1"/>
          <c:tx>
            <c:strRef>
              <c:f>'tct pivot'!$B$3</c:f>
              <c:strCache>
                <c:ptCount val="1"/>
                <c:pt idx="0">
                  <c:v>Sum of total_churned</c:v>
                </c:pt>
              </c:strCache>
            </c:strRef>
          </c:tx>
          <c:spPr>
            <a:solidFill>
              <a:schemeClr val="accent2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cat>
            <c:strRef>
              <c:f>'tct pivot'!$A$4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'tct pivot'!$B$4</c:f>
              <c:numCache>
                <c:formatCode>General</c:formatCode>
                <c:ptCount val="1"/>
                <c:pt idx="0">
                  <c:v>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15-4500-A415-998567F1D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9817023"/>
        <c:axId val="919814623"/>
        <c:axId val="0"/>
      </c:bar3DChart>
      <c:catAx>
        <c:axId val="9198170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14623"/>
        <c:crosses val="autoZero"/>
        <c:auto val="1"/>
        <c:lblAlgn val="ctr"/>
        <c:lblOffset val="100"/>
        <c:noMultiLvlLbl val="0"/>
      </c:catAx>
      <c:valAx>
        <c:axId val="919814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1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dashboard.xlsx]tenure vs churn pivot!PivotTable2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Tenure</a:t>
            </a:r>
            <a:r>
              <a:rPr lang="en-IN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 vs churn</a:t>
            </a:r>
            <a:endParaRPr lang="en-IN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'tenure vs churn pivot'!$B$3</c:f>
              <c:strCache>
                <c:ptCount val="1"/>
                <c:pt idx="0">
                  <c:v>Sum of total_customers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cat>
            <c:strRef>
              <c:f>'tenure vs churn pivot'!$A$4:$A$15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'tenure vs churn pivot'!$B$4:$B$15</c:f>
              <c:numCache>
                <c:formatCode>General</c:formatCode>
                <c:ptCount val="11"/>
                <c:pt idx="0">
                  <c:v>413</c:v>
                </c:pt>
                <c:pt idx="1">
                  <c:v>1035</c:v>
                </c:pt>
                <c:pt idx="2">
                  <c:v>1048</c:v>
                </c:pt>
                <c:pt idx="3">
                  <c:v>1009</c:v>
                </c:pt>
                <c:pt idx="4">
                  <c:v>989</c:v>
                </c:pt>
                <c:pt idx="5">
                  <c:v>1012</c:v>
                </c:pt>
                <c:pt idx="6">
                  <c:v>967</c:v>
                </c:pt>
                <c:pt idx="7">
                  <c:v>1028</c:v>
                </c:pt>
                <c:pt idx="8">
                  <c:v>1025</c:v>
                </c:pt>
                <c:pt idx="9">
                  <c:v>984</c:v>
                </c:pt>
                <c:pt idx="10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5-4958-8842-3A462D69CB6A}"/>
            </c:ext>
          </c:extLst>
        </c:ser>
        <c:ser>
          <c:idx val="1"/>
          <c:order val="1"/>
          <c:tx>
            <c:strRef>
              <c:f>'tenure vs churn pivot'!$C$3</c:f>
              <c:strCache>
                <c:ptCount val="1"/>
                <c:pt idx="0">
                  <c:v>Sum of churn_rate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'tenure vs churn pivot'!$A$4:$A$15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'tenure vs churn pivot'!$C$4:$C$15</c:f>
              <c:numCache>
                <c:formatCode>General</c:formatCode>
                <c:ptCount val="11"/>
                <c:pt idx="0">
                  <c:v>23</c:v>
                </c:pt>
                <c:pt idx="1">
                  <c:v>22.42</c:v>
                </c:pt>
                <c:pt idx="2">
                  <c:v>19.18</c:v>
                </c:pt>
                <c:pt idx="3">
                  <c:v>21.11</c:v>
                </c:pt>
                <c:pt idx="4">
                  <c:v>20.53</c:v>
                </c:pt>
                <c:pt idx="5">
                  <c:v>20.65</c:v>
                </c:pt>
                <c:pt idx="6">
                  <c:v>20.27</c:v>
                </c:pt>
                <c:pt idx="7">
                  <c:v>17.22</c:v>
                </c:pt>
                <c:pt idx="8">
                  <c:v>19.22</c:v>
                </c:pt>
                <c:pt idx="9">
                  <c:v>21.65</c:v>
                </c:pt>
                <c:pt idx="10">
                  <c:v>20.61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C5-4958-8842-3A462D69CB6A}"/>
            </c:ext>
          </c:extLst>
        </c:ser>
        <c:ser>
          <c:idx val="2"/>
          <c:order val="2"/>
          <c:tx>
            <c:strRef>
              <c:f>'tenure vs churn pivot'!$D$3</c:f>
              <c:strCache>
                <c:ptCount val="1"/>
                <c:pt idx="0">
                  <c:v>Sum of total_churned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strRef>
              <c:f>'tenure vs churn pivot'!$A$4:$A$15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'tenure vs churn pivot'!$D$4:$D$15</c:f>
              <c:numCache>
                <c:formatCode>General</c:formatCode>
                <c:ptCount val="11"/>
                <c:pt idx="0">
                  <c:v>95</c:v>
                </c:pt>
                <c:pt idx="1">
                  <c:v>232</c:v>
                </c:pt>
                <c:pt idx="2">
                  <c:v>201</c:v>
                </c:pt>
                <c:pt idx="3">
                  <c:v>213</c:v>
                </c:pt>
                <c:pt idx="4">
                  <c:v>203</c:v>
                </c:pt>
                <c:pt idx="5">
                  <c:v>209</c:v>
                </c:pt>
                <c:pt idx="6">
                  <c:v>196</c:v>
                </c:pt>
                <c:pt idx="7">
                  <c:v>177</c:v>
                </c:pt>
                <c:pt idx="8">
                  <c:v>197</c:v>
                </c:pt>
                <c:pt idx="9">
                  <c:v>213</c:v>
                </c:pt>
                <c:pt idx="1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C5-4958-8842-3A462D69C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8933775"/>
        <c:axId val="918934255"/>
        <c:axId val="0"/>
      </c:bar3DChart>
      <c:catAx>
        <c:axId val="91893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934255"/>
        <c:crosses val="autoZero"/>
        <c:auto val="1"/>
        <c:lblAlgn val="ctr"/>
        <c:lblOffset val="100"/>
        <c:noMultiLvlLbl val="0"/>
      </c:catAx>
      <c:valAx>
        <c:axId val="91893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93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dashboard.xlsx]product number vs churnpivot!PivotTable3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Product</a:t>
            </a:r>
            <a:r>
              <a:rPr lang="en-US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 number vs churn</a:t>
            </a:r>
            <a:endParaRPr lang="en-US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rgbClr val="FF0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tx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rgbClr val="FF0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tx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rgbClr val="FF0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'product number vs churnpivot'!$B$3</c:f>
              <c:strCache>
                <c:ptCount val="1"/>
                <c:pt idx="0">
                  <c:v>Sum of total_customers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765-4866-8223-F2278F0CBB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765-4866-8223-F2278F0CBB73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765-4866-8223-F2278F0CBB73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765-4866-8223-F2278F0CBB73}"/>
              </c:ext>
            </c:extLst>
          </c:dPt>
          <c:cat>
            <c:strRef>
              <c:f>'product number vs churnpivot'!$A$4:$A$8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'product number vs churnpivot'!$B$4:$B$8</c:f>
              <c:numCache>
                <c:formatCode>General</c:formatCode>
                <c:ptCount val="4"/>
                <c:pt idx="0">
                  <c:v>5084</c:v>
                </c:pt>
                <c:pt idx="1">
                  <c:v>4590</c:v>
                </c:pt>
                <c:pt idx="2">
                  <c:v>266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65-4866-8223-F2278F0CBB73}"/>
            </c:ext>
          </c:extLst>
        </c:ser>
        <c:ser>
          <c:idx val="1"/>
          <c:order val="1"/>
          <c:tx>
            <c:strRef>
              <c:f>'product number vs churnpivot'!$C$3</c:f>
              <c:strCache>
                <c:ptCount val="1"/>
                <c:pt idx="0">
                  <c:v>Sum of churned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9765-4866-8223-F2278F0CBB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9765-4866-8223-F2278F0CBB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9765-4866-8223-F2278F0CBB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9765-4866-8223-F2278F0CBB73}"/>
              </c:ext>
            </c:extLst>
          </c:dPt>
          <c:cat>
            <c:strRef>
              <c:f>'product number vs churnpivot'!$A$4:$A$8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'product number vs churnpivot'!$C$4:$C$8</c:f>
              <c:numCache>
                <c:formatCode>General</c:formatCode>
                <c:ptCount val="4"/>
                <c:pt idx="0">
                  <c:v>1409</c:v>
                </c:pt>
                <c:pt idx="1">
                  <c:v>348</c:v>
                </c:pt>
                <c:pt idx="2">
                  <c:v>220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765-4866-8223-F2278F0CBB73}"/>
            </c:ext>
          </c:extLst>
        </c:ser>
        <c:ser>
          <c:idx val="2"/>
          <c:order val="2"/>
          <c:tx>
            <c:strRef>
              <c:f>'product number vs churnpivot'!$D$3</c:f>
              <c:strCache>
                <c:ptCount val="1"/>
                <c:pt idx="0">
                  <c:v>Sum of churn_rate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765-4866-8223-F2278F0CBB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765-4866-8223-F2278F0CBB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765-4866-8223-F2278F0CBB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9765-4866-8223-F2278F0CBB73}"/>
              </c:ext>
            </c:extLst>
          </c:dPt>
          <c:cat>
            <c:strRef>
              <c:f>'product number vs churnpivot'!$A$4:$A$8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'product number vs churnpivot'!$D$4:$D$8</c:f>
              <c:numCache>
                <c:formatCode>General</c:formatCode>
                <c:ptCount val="4"/>
                <c:pt idx="0">
                  <c:v>27.71</c:v>
                </c:pt>
                <c:pt idx="1">
                  <c:v>7.58</c:v>
                </c:pt>
                <c:pt idx="2">
                  <c:v>82.71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765-4866-8223-F2278F0CB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dashboard.xlsx]Gender wise churn pivot!PivotTable4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Gender</a:t>
            </a:r>
            <a:r>
              <a:rPr lang="en-IN" baseline="0"/>
              <a:t> </a:t>
            </a:r>
            <a:r>
              <a:rPr lang="en-IN" b="1" baseline="0">
                <a:solidFill>
                  <a:sysClr val="windowText" lastClr="000000"/>
                </a:solidFill>
              </a:rPr>
              <a:t>wise</a:t>
            </a:r>
            <a:r>
              <a:rPr lang="en-IN" baseline="0"/>
              <a:t> </a:t>
            </a:r>
            <a:r>
              <a:rPr lang="en-IN" b="1" baseline="0">
                <a:solidFill>
                  <a:schemeClr val="tx1"/>
                </a:solidFill>
              </a:rPr>
              <a:t>churn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wise churn pivot'!$B$3</c:f>
              <c:strCache>
                <c:ptCount val="1"/>
                <c:pt idx="0">
                  <c:v>Sum of total_churned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75-4FED-93CF-925DB51F46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75-4FED-93CF-925DB51F46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wise churn pivot'!$A$4:$A$6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wise churn pivot'!$B$4:$B$6</c:f>
              <c:numCache>
                <c:formatCode>General</c:formatCode>
                <c:ptCount val="2"/>
                <c:pt idx="0">
                  <c:v>1139</c:v>
                </c:pt>
                <c:pt idx="1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75-4FED-93CF-925DB51F465E}"/>
            </c:ext>
          </c:extLst>
        </c:ser>
        <c:ser>
          <c:idx val="1"/>
          <c:order val="1"/>
          <c:tx>
            <c:strRef>
              <c:f>'Gender wise churn pivot'!$C$3</c:f>
              <c:strCache>
                <c:ptCount val="1"/>
                <c:pt idx="0">
                  <c:v>Sum of total_customers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675-4FED-93CF-925DB51F46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675-4FED-93CF-925DB51F46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wise churn pivot'!$A$4:$A$6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wise churn pivot'!$C$4:$C$6</c:f>
              <c:numCache>
                <c:formatCode>General</c:formatCode>
                <c:ptCount val="2"/>
                <c:pt idx="0">
                  <c:v>4543</c:v>
                </c:pt>
                <c:pt idx="1">
                  <c:v>5457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75-4FED-93CF-925DB51F465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dashboard.xlsx]credit card vs churnpivot!PivotTable5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Credit</a:t>
            </a:r>
            <a:r>
              <a:rPr lang="en-IN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 card vs churn</a:t>
            </a:r>
            <a:endParaRPr lang="en-IN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</c:pivotFmt>
      <c:pivotFmt>
        <c:idx val="12"/>
        <c:spPr>
          <a:solidFill>
            <a:srgbClr val="FFC000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89667081088547"/>
          <c:y val="0.14842459761023025"/>
          <c:w val="0.78200109361329839"/>
          <c:h val="0.818526538349372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'credit card vs churnpivot'!$B$3</c:f>
              <c:strCache>
                <c:ptCount val="1"/>
                <c:pt idx="0">
                  <c:v>Sum of total_customers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34-4A5F-86B5-4AFD9EF655BF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34-4A5F-86B5-4AFD9EF655BF}"/>
              </c:ext>
            </c:extLst>
          </c:dPt>
          <c:cat>
            <c:strRef>
              <c:f>'credit card vs churnpivot'!$A$4:$A$6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'credit card vs churnpivot'!$B$4:$B$6</c:f>
              <c:numCache>
                <c:formatCode>General</c:formatCode>
                <c:ptCount val="2"/>
                <c:pt idx="0">
                  <c:v>2945</c:v>
                </c:pt>
                <c:pt idx="1">
                  <c:v>7055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34-4A5F-86B5-4AFD9EF655BF}"/>
            </c:ext>
          </c:extLst>
        </c:ser>
        <c:ser>
          <c:idx val="1"/>
          <c:order val="1"/>
          <c:tx>
            <c:strRef>
              <c:f>'credit card vs churnpivot'!$C$3</c:f>
              <c:strCache>
                <c:ptCount val="1"/>
                <c:pt idx="0">
                  <c:v>Sum of 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'credit card vs churnpivot'!$A$4:$A$6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'credit card vs churnpivot'!$C$4:$C$6</c:f>
              <c:numCache>
                <c:formatCode>General</c:formatCode>
                <c:ptCount val="2"/>
                <c:pt idx="0">
                  <c:v>613</c:v>
                </c:pt>
                <c:pt idx="1">
                  <c:v>1424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34-4A5F-86B5-4AFD9EF655BF}"/>
            </c:ext>
          </c:extLst>
        </c:ser>
        <c:ser>
          <c:idx val="2"/>
          <c:order val="2"/>
          <c:tx>
            <c:strRef>
              <c:f>'credit card vs churnpivot'!$D$3</c:f>
              <c:strCache>
                <c:ptCount val="1"/>
                <c:pt idx="0">
                  <c:v>Sum of churn_rate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'credit card vs churnpivot'!$A$4:$A$6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'credit card vs churnpivot'!$D$4:$D$6</c:f>
              <c:numCache>
                <c:formatCode>General</c:formatCode>
                <c:ptCount val="2"/>
                <c:pt idx="0">
                  <c:v>20.81</c:v>
                </c:pt>
                <c:pt idx="1">
                  <c:v>20.18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34-4A5F-86B5-4AFD9EF655B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275759"/>
        <c:axId val="476276239"/>
      </c:barChart>
      <c:catAx>
        <c:axId val="476275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6276239"/>
        <c:crosses val="autoZero"/>
        <c:auto val="1"/>
        <c:lblAlgn val="ctr"/>
        <c:lblOffset val="100"/>
        <c:noMultiLvlLbl val="0"/>
      </c:catAx>
      <c:valAx>
        <c:axId val="4762762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6275759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dashboard.xlsx]Sheet7!PivotTable6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Country</a:t>
            </a:r>
            <a:r>
              <a:rPr lang="en-IN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 wise churn</a:t>
            </a:r>
            <a:endParaRPr lang="en-IN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total_customers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Sheet7!$A$4:$A$7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5014</c:v>
                </c:pt>
                <c:pt idx="1">
                  <c:v>2509</c:v>
                </c:pt>
                <c:pt idx="2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F-436D-877B-AD039D23164F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Sheet7!$A$4:$A$7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Sheet7!$C$4:$C$7</c:f>
              <c:numCache>
                <c:formatCode>General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F-436D-877B-AD039D23164F}"/>
            </c:ext>
          </c:extLst>
        </c:ser>
        <c:ser>
          <c:idx val="2"/>
          <c:order val="2"/>
          <c:tx>
            <c:strRef>
              <c:f>Sheet7!$D$3</c:f>
              <c:strCache>
                <c:ptCount val="1"/>
                <c:pt idx="0">
                  <c:v>Sum of churn_rate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Sheet7!$A$4:$A$7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Sheet7!$D$4:$D$7</c:f>
              <c:numCache>
                <c:formatCode>General</c:formatCode>
                <c:ptCount val="3"/>
                <c:pt idx="0">
                  <c:v>16.149999999999999</c:v>
                </c:pt>
                <c:pt idx="1">
                  <c:v>32.44</c:v>
                </c:pt>
                <c:pt idx="2">
                  <c:v>16.670000000000002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4F-436D-877B-AD039D231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4493663"/>
        <c:axId val="924489823"/>
        <c:axId val="0"/>
      </c:bar3DChart>
      <c:catAx>
        <c:axId val="92449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89823"/>
        <c:crosses val="autoZero"/>
        <c:auto val="1"/>
        <c:lblAlgn val="ctr"/>
        <c:lblOffset val="100"/>
        <c:noMultiLvlLbl val="0"/>
      </c:catAx>
      <c:valAx>
        <c:axId val="92448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9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dashboard.xlsx]balance vs churn pivot!PivotTable7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Balance</a:t>
            </a:r>
            <a:r>
              <a:rPr lang="en-IN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 vs churn</a:t>
            </a:r>
            <a:endParaRPr lang="en-IN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'balance vs churn pivot'!$B$3</c:f>
              <c:strCache>
                <c:ptCount val="1"/>
                <c:pt idx="0">
                  <c:v>Sum of total_customers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94-450A-A6EC-09856626D0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94-450A-A6EC-09856626D009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94-450A-A6EC-09856626D0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94-450A-A6EC-09856626D009}"/>
              </c:ext>
            </c:extLst>
          </c:dPt>
          <c:cat>
            <c:strRef>
              <c:f>'balance vs churn pivot'!$A$4:$A$8</c:f>
              <c:strCache>
                <c:ptCount val="4"/>
                <c:pt idx="0">
                  <c:v>&lt;50k</c:v>
                </c:pt>
                <c:pt idx="1">
                  <c:v>&gt;2L</c:v>
                </c:pt>
                <c:pt idx="2">
                  <c:v>1L-2L</c:v>
                </c:pt>
                <c:pt idx="3">
                  <c:v>50k-1L</c:v>
                </c:pt>
              </c:strCache>
            </c:strRef>
          </c:cat>
          <c:val>
            <c:numRef>
              <c:f>'balance vs churn pivot'!$B$4:$B$8</c:f>
              <c:numCache>
                <c:formatCode>General</c:formatCode>
                <c:ptCount val="4"/>
                <c:pt idx="0">
                  <c:v>3692</c:v>
                </c:pt>
                <c:pt idx="1">
                  <c:v>34</c:v>
                </c:pt>
                <c:pt idx="2">
                  <c:v>4765</c:v>
                </c:pt>
                <c:pt idx="3">
                  <c:v>1509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A94-450A-A6EC-09856626D009}"/>
            </c:ext>
          </c:extLst>
        </c:ser>
        <c:ser>
          <c:idx val="1"/>
          <c:order val="1"/>
          <c:tx>
            <c:strRef>
              <c:f>'balance vs churn pivot'!$C$3</c:f>
              <c:strCache>
                <c:ptCount val="1"/>
                <c:pt idx="0">
                  <c:v>Sum of churned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A94-450A-A6EC-09856626D0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A94-450A-A6EC-09856626D0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A94-450A-A6EC-09856626D0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A94-450A-A6EC-09856626D009}"/>
              </c:ext>
            </c:extLst>
          </c:dPt>
          <c:cat>
            <c:strRef>
              <c:f>'balance vs churn pivot'!$A$4:$A$8</c:f>
              <c:strCache>
                <c:ptCount val="4"/>
                <c:pt idx="0">
                  <c:v>&lt;50k</c:v>
                </c:pt>
                <c:pt idx="1">
                  <c:v>&gt;2L</c:v>
                </c:pt>
                <c:pt idx="2">
                  <c:v>1L-2L</c:v>
                </c:pt>
                <c:pt idx="3">
                  <c:v>50k-1L</c:v>
                </c:pt>
              </c:strCache>
            </c:strRef>
          </c:cat>
          <c:val>
            <c:numRef>
              <c:f>'balance vs churn pivot'!$C$4:$C$8</c:f>
              <c:numCache>
                <c:formatCode>General</c:formatCode>
                <c:ptCount val="4"/>
                <c:pt idx="0">
                  <c:v>526</c:v>
                </c:pt>
                <c:pt idx="1">
                  <c:v>19</c:v>
                </c:pt>
                <c:pt idx="2">
                  <c:v>1192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A94-450A-A6EC-09856626D009}"/>
            </c:ext>
          </c:extLst>
        </c:ser>
        <c:ser>
          <c:idx val="2"/>
          <c:order val="2"/>
          <c:tx>
            <c:strRef>
              <c:f>'balance vs churn pivot'!$D$3</c:f>
              <c:strCache>
                <c:ptCount val="1"/>
                <c:pt idx="0">
                  <c:v>Sum of churn_rate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A94-450A-A6EC-09856626D0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A94-450A-A6EC-09856626D0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A94-450A-A6EC-09856626D0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A94-450A-A6EC-09856626D009}"/>
              </c:ext>
            </c:extLst>
          </c:dPt>
          <c:cat>
            <c:strRef>
              <c:f>'balance vs churn pivot'!$A$4:$A$8</c:f>
              <c:strCache>
                <c:ptCount val="4"/>
                <c:pt idx="0">
                  <c:v>&lt;50k</c:v>
                </c:pt>
                <c:pt idx="1">
                  <c:v>&gt;2L</c:v>
                </c:pt>
                <c:pt idx="2">
                  <c:v>1L-2L</c:v>
                </c:pt>
                <c:pt idx="3">
                  <c:v>50k-1L</c:v>
                </c:pt>
              </c:strCache>
            </c:strRef>
          </c:cat>
          <c:val>
            <c:numRef>
              <c:f>'balance vs churn pivot'!$D$4:$D$8</c:f>
              <c:numCache>
                <c:formatCode>General</c:formatCode>
                <c:ptCount val="4"/>
                <c:pt idx="0">
                  <c:v>14.25</c:v>
                </c:pt>
                <c:pt idx="1">
                  <c:v>55.88</c:v>
                </c:pt>
                <c:pt idx="2">
                  <c:v>25.02</c:v>
                </c:pt>
                <c:pt idx="3">
                  <c:v>19.88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A94-450A-A6EC-09856626D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dashboard.xlsx]Age group vs churn pivot!PivotTable8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Age</a:t>
            </a:r>
            <a:r>
              <a:rPr lang="en-IN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tx1"/>
                </a:solidFill>
              </a:rPr>
              <a:t> Group vs churn</a:t>
            </a:r>
            <a:endParaRPr lang="en-IN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'Age group vs churn pivot'!$B$3</c:f>
              <c:strCache>
                <c:ptCount val="1"/>
                <c:pt idx="0">
                  <c:v>Sum of total_customers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3E-480B-B07C-81C9B36EFD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3E-480B-B07C-81C9B36EFD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3E-480B-B07C-81C9B36EFD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3E-480B-B07C-81C9B36EFD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3E-480B-B07C-81C9B36EFD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group vs churn pivot'!$A$4:$A$8</c:f>
              <c:strCache>
                <c:ptCount val="4"/>
                <c:pt idx="0">
                  <c:v>&lt;30</c:v>
                </c:pt>
                <c:pt idx="1">
                  <c:v>&gt;60</c:v>
                </c:pt>
                <c:pt idx="2">
                  <c:v>30-45</c:v>
                </c:pt>
                <c:pt idx="3">
                  <c:v>46-60</c:v>
                </c:pt>
              </c:strCache>
            </c:strRef>
          </c:cat>
          <c:val>
            <c:numRef>
              <c:f>'Age group vs churn pivot'!$B$4:$B$8</c:f>
              <c:numCache>
                <c:formatCode>General</c:formatCode>
                <c:ptCount val="4"/>
                <c:pt idx="0">
                  <c:v>1641</c:v>
                </c:pt>
                <c:pt idx="1">
                  <c:v>464</c:v>
                </c:pt>
                <c:pt idx="2">
                  <c:v>6248</c:v>
                </c:pt>
                <c:pt idx="3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3E-480B-B07C-81C9B36EFDD6}"/>
            </c:ext>
          </c:extLst>
        </c:ser>
        <c:ser>
          <c:idx val="1"/>
          <c:order val="1"/>
          <c:tx>
            <c:strRef>
              <c:f>'Age group vs churn pivot'!$C$3</c:f>
              <c:strCache>
                <c:ptCount val="1"/>
                <c:pt idx="0">
                  <c:v>Sum of churned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E3E-480B-B07C-81C9B36EFD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3E3E-480B-B07C-81C9B36EFD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E3E-480B-B07C-81C9B36EFD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E3E-480B-B07C-81C9B36EFD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E3E-480B-B07C-81C9B36EFD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group vs churn pivot'!$A$4:$A$8</c:f>
              <c:strCache>
                <c:ptCount val="4"/>
                <c:pt idx="0">
                  <c:v>&lt;30</c:v>
                </c:pt>
                <c:pt idx="1">
                  <c:v>&gt;60</c:v>
                </c:pt>
                <c:pt idx="2">
                  <c:v>30-45</c:v>
                </c:pt>
                <c:pt idx="3">
                  <c:v>46-60</c:v>
                </c:pt>
              </c:strCache>
            </c:strRef>
          </c:cat>
          <c:val>
            <c:numRef>
              <c:f>'Age group vs churn pivot'!$C$4:$C$8</c:f>
              <c:numCache>
                <c:formatCode>General</c:formatCode>
                <c:ptCount val="4"/>
                <c:pt idx="0">
                  <c:v>124</c:v>
                </c:pt>
                <c:pt idx="1">
                  <c:v>115</c:v>
                </c:pt>
                <c:pt idx="2">
                  <c:v>956</c:v>
                </c:pt>
                <c:pt idx="3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E3E-480B-B07C-81C9B36EFDD6}"/>
            </c:ext>
          </c:extLst>
        </c:ser>
        <c:ser>
          <c:idx val="2"/>
          <c:order val="2"/>
          <c:tx>
            <c:strRef>
              <c:f>'Age group vs churn pivot'!$D$3</c:f>
              <c:strCache>
                <c:ptCount val="1"/>
                <c:pt idx="0">
                  <c:v>Sum of churn_rate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E3E-480B-B07C-81C9B36EFD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E3E-480B-B07C-81C9B36EFD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E3E-480B-B07C-81C9B36EFD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E3E-480B-B07C-81C9B36EFD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E3E-480B-B07C-81C9B36EFD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group vs churn pivot'!$A$4:$A$8</c:f>
              <c:strCache>
                <c:ptCount val="4"/>
                <c:pt idx="0">
                  <c:v>&lt;30</c:v>
                </c:pt>
                <c:pt idx="1">
                  <c:v>&gt;60</c:v>
                </c:pt>
                <c:pt idx="2">
                  <c:v>30-45</c:v>
                </c:pt>
                <c:pt idx="3">
                  <c:v>46-60</c:v>
                </c:pt>
              </c:strCache>
            </c:strRef>
          </c:cat>
          <c:val>
            <c:numRef>
              <c:f>'Age group vs churn pivot'!$D$4:$D$8</c:f>
              <c:numCache>
                <c:formatCode>General</c:formatCode>
                <c:ptCount val="4"/>
                <c:pt idx="0">
                  <c:v>7.56</c:v>
                </c:pt>
                <c:pt idx="1">
                  <c:v>24.78</c:v>
                </c:pt>
                <c:pt idx="2">
                  <c:v>15.3</c:v>
                </c:pt>
                <c:pt idx="3">
                  <c:v>51.12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E3E-480B-B07C-81C9B36EFD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prediction dashboard.xlsx]Sheet12!PivotTable10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Active</a:t>
            </a:r>
            <a:r>
              <a:rPr lang="en-IN" baseline="0"/>
              <a:t> number vs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Sum of total_customers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Sheet12!$A$4:$A$6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Sheet12!$B$4:$B$6</c:f>
              <c:numCache>
                <c:formatCode>General</c:formatCode>
                <c:ptCount val="2"/>
                <c:pt idx="0">
                  <c:v>4849</c:v>
                </c:pt>
                <c:pt idx="1">
                  <c:v>5151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9-4C31-8088-9B14DB5DF6E0}"/>
            </c:ext>
          </c:extLst>
        </c:ser>
        <c:ser>
          <c:idx val="1"/>
          <c:order val="1"/>
          <c:tx>
            <c:strRef>
              <c:f>Sheet12!$C$3</c:f>
              <c:strCache>
                <c:ptCount val="1"/>
                <c:pt idx="0">
                  <c:v>Sum of 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Sheet12!$A$4:$A$6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Sheet12!$C$4:$C$6</c:f>
              <c:numCache>
                <c:formatCode>General</c:formatCode>
                <c:ptCount val="2"/>
                <c:pt idx="0">
                  <c:v>1302</c:v>
                </c:pt>
                <c:pt idx="1">
                  <c:v>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C9-4C31-8088-9B14DB5DF6E0}"/>
            </c:ext>
          </c:extLst>
        </c:ser>
        <c:ser>
          <c:idx val="2"/>
          <c:order val="2"/>
          <c:tx>
            <c:strRef>
              <c:f>Sheet12!$D$3</c:f>
              <c:strCache>
                <c:ptCount val="1"/>
                <c:pt idx="0">
                  <c:v>Sum of churn_rate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Sheet12!$A$4:$A$6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Sheet12!$D$4:$D$6</c:f>
              <c:numCache>
                <c:formatCode>General</c:formatCode>
                <c:ptCount val="2"/>
                <c:pt idx="0">
                  <c:v>26.85</c:v>
                </c:pt>
                <c:pt idx="1">
                  <c:v>14.27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C9-4C31-8088-9B14DB5DF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9085199"/>
        <c:axId val="1059081839"/>
        <c:axId val="0"/>
      </c:bar3DChart>
      <c:catAx>
        <c:axId val="1059085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081839"/>
        <c:crosses val="autoZero"/>
        <c:auto val="1"/>
        <c:lblAlgn val="ctr"/>
        <c:lblOffset val="100"/>
        <c:noMultiLvlLbl val="0"/>
      </c:catAx>
      <c:valAx>
        <c:axId val="105908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08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617220</xdr:colOff>
      <xdr:row>7</xdr:row>
      <xdr:rowOff>41910</xdr:rowOff>
    </xdr:from>
    <xdr:to>
      <xdr:col>8</xdr:col>
      <xdr:colOff>601980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75A874-1299-B828-9F12-29E967768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899160</xdr:colOff>
      <xdr:row>9</xdr:row>
      <xdr:rowOff>167640</xdr:rowOff>
    </xdr:from>
    <xdr:to>
      <xdr:col>9</xdr:col>
      <xdr:colOff>487680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2F934D-D99F-9A37-9CBE-06F98EF67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723900</xdr:colOff>
      <xdr:row>8</xdr:row>
      <xdr:rowOff>64770</xdr:rowOff>
    </xdr:from>
    <xdr:to>
      <xdr:col>10</xdr:col>
      <xdr:colOff>487680</xdr:colOff>
      <xdr:row>23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A9B6BB-38D3-BC55-C404-AD85F4430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434340</xdr:colOff>
      <xdr:row>9</xdr:row>
      <xdr:rowOff>121920</xdr:rowOff>
    </xdr:from>
    <xdr:to>
      <xdr:col>8</xdr:col>
      <xdr:colOff>601980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DCFE0-3987-4706-4E03-5AD43D4B6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8</xdr:row>
      <xdr:rowOff>41910</xdr:rowOff>
    </xdr:from>
    <xdr:to>
      <xdr:col>10</xdr:col>
      <xdr:colOff>373380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D8C33F-BE57-6376-1E1F-398226950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7</xdr:row>
      <xdr:rowOff>133350</xdr:rowOff>
    </xdr:from>
    <xdr:to>
      <xdr:col>10</xdr:col>
      <xdr:colOff>350520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F98A8A-788F-BEE7-808F-B1810169B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7</xdr:row>
      <xdr:rowOff>41910</xdr:rowOff>
    </xdr:from>
    <xdr:to>
      <xdr:col>7</xdr:col>
      <xdr:colOff>1203960</xdr:colOff>
      <xdr:row>22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EC7409-60C2-FE84-D69F-5EEA24132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7</xdr:row>
      <xdr:rowOff>41910</xdr:rowOff>
    </xdr:from>
    <xdr:to>
      <xdr:col>12</xdr:col>
      <xdr:colOff>289560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BC28FC-8E4D-E74F-5384-B03983AA2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1173480</xdr:colOff>
      <xdr:row>7</xdr:row>
      <xdr:rowOff>72390</xdr:rowOff>
    </xdr:from>
    <xdr:to>
      <xdr:col>9</xdr:col>
      <xdr:colOff>7620</xdr:colOff>
      <xdr:row>22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BF9EDD-D383-CAD3-79AA-9154A7596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3</xdr:row>
      <xdr:rowOff>121920</xdr:rowOff>
    </xdr:from>
    <xdr:to>
      <xdr:col>4</xdr:col>
      <xdr:colOff>160020</xdr:colOff>
      <xdr:row>14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9CE59-6A2E-4D01-BB2E-FC280DD7A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350520</xdr:colOff>
      <xdr:row>3</xdr:row>
      <xdr:rowOff>137160</xdr:rowOff>
    </xdr:from>
    <xdr:to>
      <xdr:col>10</xdr:col>
      <xdr:colOff>228600</xdr:colOff>
      <xdr:row>14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C1FC94-4FA3-49F8-B77D-083AE773F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441960</xdr:colOff>
      <xdr:row>3</xdr:row>
      <xdr:rowOff>106680</xdr:rowOff>
    </xdr:from>
    <xdr:to>
      <xdr:col>14</xdr:col>
      <xdr:colOff>464820</xdr:colOff>
      <xdr:row>14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A16E73-505D-4A0A-A369-4EC2AB09A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45720</xdr:colOff>
      <xdr:row>14</xdr:row>
      <xdr:rowOff>167640</xdr:rowOff>
    </xdr:from>
    <xdr:to>
      <xdr:col>4</xdr:col>
      <xdr:colOff>91440</xdr:colOff>
      <xdr:row>24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A4D77-1BC6-495B-AB71-9B84F9758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365760</xdr:colOff>
      <xdr:row>14</xdr:row>
      <xdr:rowOff>167640</xdr:rowOff>
    </xdr:from>
    <xdr:to>
      <xdr:col>10</xdr:col>
      <xdr:colOff>236220</xdr:colOff>
      <xdr:row>23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42055D-DE3A-46A9-94C0-2E4675ADF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449580</xdr:colOff>
      <xdr:row>14</xdr:row>
      <xdr:rowOff>160020</xdr:rowOff>
    </xdr:from>
    <xdr:to>
      <xdr:col>15</xdr:col>
      <xdr:colOff>434340</xdr:colOff>
      <xdr:row>23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7CD70A-D77B-4AB8-8970-FCEE39C90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68580</xdr:colOff>
      <xdr:row>25</xdr:row>
      <xdr:rowOff>91440</xdr:rowOff>
    </xdr:from>
    <xdr:to>
      <xdr:col>4</xdr:col>
      <xdr:colOff>83820</xdr:colOff>
      <xdr:row>35</xdr:row>
      <xdr:rowOff>68580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E6D4AB-EA8A-4394-A1DB-43C57BDF0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403860</xdr:colOff>
      <xdr:row>25</xdr:row>
      <xdr:rowOff>152400</xdr:rowOff>
    </xdr:from>
    <xdr:to>
      <xdr:col>10</xdr:col>
      <xdr:colOff>259080</xdr:colOff>
      <xdr:row>35</xdr:row>
      <xdr:rowOff>83820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D2AFAFC-ECCC-45E9-AF4C-47B938BF2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53340</xdr:colOff>
      <xdr:row>25</xdr:row>
      <xdr:rowOff>160020</xdr:rowOff>
    </xdr:from>
    <xdr:to>
      <xdr:col>16</xdr:col>
      <xdr:colOff>15240</xdr:colOff>
      <xdr:row>35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ED1FE44-90CC-4EFC-ABA0-7EA48AEEB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2.638077662035" createdVersion="8" refreshedVersion="8" minRefreshableVersion="3" recordCount="1" xr:uid="{B287FD80-3302-45D5-8505-C53070358BBF}">
  <cacheSource type="worksheet">
    <worksheetSource name="Total_churned_customers_chrun_rate__2"/>
  </cacheSource>
  <cacheFields count="2">
    <cacheField name="total_churned" numFmtId="0">
      <sharedItems containsSemiMixedTypes="0" containsString="0" containsNumber="1" containsInteger="1" minValue="2037" maxValue="2037" count="1">
        <n v="2037"/>
      </sharedItems>
    </cacheField>
    <cacheField name="churn_rate_percentage" numFmtId="0">
      <sharedItems containsSemiMixedTypes="0" containsString="0" containsNumber="1" minValue="20.37" maxValue="20.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2.646121064812" createdVersion="8" refreshedVersion="8" minRefreshableVersion="3" recordCount="11" xr:uid="{AE8CEA97-FE54-453C-9933-0325F4DA284F}">
  <cacheSource type="worksheet">
    <worksheetSource name="Tenure_vs_churn"/>
  </cacheSource>
  <cacheFields count="4">
    <cacheField name="tenure" numFmtId="0">
      <sharedItems containsSemiMixedTypes="0" containsString="0" containsNumber="1" containsInteger="1" minValue="0" maxValue="10" count="11">
        <n v="0"/>
        <n v="1"/>
        <n v="2"/>
        <n v="3"/>
        <n v="4"/>
        <n v="5"/>
        <n v="6"/>
        <n v="7"/>
        <n v="8"/>
        <n v="9"/>
        <n v="10"/>
      </sharedItems>
    </cacheField>
    <cacheField name="total_customers" numFmtId="0">
      <sharedItems containsSemiMixedTypes="0" containsString="0" containsNumber="1" containsInteger="1" minValue="413" maxValue="1048"/>
    </cacheField>
    <cacheField name="total_churned" numFmtId="0">
      <sharedItems containsSemiMixedTypes="0" containsString="0" containsNumber="1" containsInteger="1" minValue="95" maxValue="232"/>
    </cacheField>
    <cacheField name="churn_rate" numFmtId="0">
      <sharedItems containsSemiMixedTypes="0" containsString="0" containsNumber="1" minValue="17.22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2.652005902775" createdVersion="8" refreshedVersion="8" minRefreshableVersion="3" recordCount="4" xr:uid="{6FAC8CFB-35AA-434A-A2A4-416BC0A87EDE}">
  <cacheSource type="worksheet">
    <worksheetSource name="product_number_vs_churn"/>
  </cacheSource>
  <cacheFields count="4">
    <cacheField name="products_numb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otal_customers" numFmtId="0">
      <sharedItems containsSemiMixedTypes="0" containsString="0" containsNumber="1" containsInteger="1" minValue="60" maxValue="5084"/>
    </cacheField>
    <cacheField name="churned" numFmtId="0">
      <sharedItems containsSemiMixedTypes="0" containsString="0" containsNumber="1" containsInteger="1" minValue="60" maxValue="1409" count="4">
        <n v="1409"/>
        <n v="348"/>
        <n v="220"/>
        <n v="60"/>
      </sharedItems>
    </cacheField>
    <cacheField name="churn_rate" numFmtId="0">
      <sharedItems containsSemiMixedTypes="0" containsString="0" containsNumber="1" minValue="7.58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2.656905439813" createdVersion="8" refreshedVersion="8" minRefreshableVersion="3" recordCount="2" xr:uid="{1CD75779-BE75-4048-91F8-41085DBBFAF7}">
  <cacheSource type="worksheet">
    <worksheetSource name="gender_wise_churn"/>
  </cacheSource>
  <cacheFields count="4">
    <cacheField name="gender" numFmtId="0">
      <sharedItems count="2">
        <s v="Female"/>
        <s v="Male"/>
      </sharedItems>
    </cacheField>
    <cacheField name="total_customers" numFmtId="0">
      <sharedItems containsSemiMixedTypes="0" containsString="0" containsNumber="1" containsInteger="1" minValue="4543" maxValue="5457" count="2">
        <n v="4543"/>
        <n v="5457"/>
      </sharedItems>
    </cacheField>
    <cacheField name="total_churned" numFmtId="0">
      <sharedItems containsSemiMixedTypes="0" containsString="0" containsNumber="1" containsInteger="1" minValue="898" maxValue="1139"/>
    </cacheField>
    <cacheField name="churn_rate_percentage" numFmtId="0">
      <sharedItems containsSemiMixedTypes="0" containsString="0" containsNumber="1" minValue="16.46" maxValue="25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2.659521064816" createdVersion="8" refreshedVersion="8" minRefreshableVersion="3" recordCount="2" xr:uid="{133AEC9A-45B1-423B-AB78-7AEB7B95DCA2}">
  <cacheSource type="worksheet">
    <worksheetSource name="Credit_card_vs_churn"/>
  </cacheSource>
  <cacheFields count="4">
    <cacheField name="credit_card" numFmtId="0">
      <sharedItems containsSemiMixedTypes="0" containsString="0" containsNumber="1" containsInteger="1" minValue="0" maxValue="1" count="2">
        <n v="1"/>
        <n v="0"/>
      </sharedItems>
    </cacheField>
    <cacheField name="total_customers" numFmtId="0">
      <sharedItems containsSemiMixedTypes="0" containsString="0" containsNumber="1" containsInteger="1" minValue="2945" maxValue="7055"/>
    </cacheField>
    <cacheField name="churned" numFmtId="0">
      <sharedItems containsSemiMixedTypes="0" containsString="0" containsNumber="1" containsInteger="1" minValue="613" maxValue="1424"/>
    </cacheField>
    <cacheField name="churn_rate" numFmtId="0">
      <sharedItems containsSemiMixedTypes="0" containsString="0" containsNumber="1" minValue="20.18" maxValue="20.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2.664942129632" createdVersion="8" refreshedVersion="8" minRefreshableVersion="3" recordCount="3" xr:uid="{B3220305-1006-4BAA-9A08-E2E47E2CC447}">
  <cacheSource type="worksheet">
    <worksheetSource name="country_wise_churn"/>
  </cacheSource>
  <cacheFields count="4">
    <cacheField name="country" numFmtId="0">
      <sharedItems count="3">
        <s v="Germany"/>
        <s v="Spain"/>
        <s v="France"/>
      </sharedItems>
    </cacheField>
    <cacheField name="total_customers" numFmtId="0">
      <sharedItems containsSemiMixedTypes="0" containsString="0" containsNumber="1" containsInteger="1" minValue="2477" maxValue="5014"/>
    </cacheField>
    <cacheField name="churned" numFmtId="0">
      <sharedItems containsSemiMixedTypes="0" containsString="0" containsNumber="1" containsInteger="1" minValue="413" maxValue="814"/>
    </cacheField>
    <cacheField name="churn_rate" numFmtId="0">
      <sharedItems containsSemiMixedTypes="0" containsString="0" containsNumber="1" minValue="16.149999999999999" maxValue="32.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2.666163888891" createdVersion="8" refreshedVersion="8" minRefreshableVersion="3" recordCount="4" xr:uid="{EB09E5DE-B48B-451A-B049-B0B034528250}">
  <cacheSource type="worksheet">
    <worksheetSource name="balance_vs_churn"/>
  </cacheSource>
  <cacheFields count="4">
    <cacheField name="balance_range" numFmtId="0">
      <sharedItems count="4">
        <s v="&lt;50k"/>
        <s v="&gt;2L"/>
        <s v="1L-2L"/>
        <s v="50k-1L"/>
      </sharedItems>
    </cacheField>
    <cacheField name="total_customers" numFmtId="0">
      <sharedItems containsSemiMixedTypes="0" containsString="0" containsNumber="1" containsInteger="1" minValue="34" maxValue="4765"/>
    </cacheField>
    <cacheField name="churned" numFmtId="0">
      <sharedItems containsSemiMixedTypes="0" containsString="0" containsNumber="1" containsInteger="1" minValue="19" maxValue="1192"/>
    </cacheField>
    <cacheField name="churn_rate" numFmtId="0">
      <sharedItems containsSemiMixedTypes="0" containsString="0" containsNumber="1" minValue="14.25" maxValue="55.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2.668235648147" createdVersion="8" refreshedVersion="8" minRefreshableVersion="3" recordCount="4" xr:uid="{61C287AC-4EE2-4033-B459-FE73F701C412}">
  <cacheSource type="worksheet">
    <worksheetSource name="Age_group_vs_churn"/>
  </cacheSource>
  <cacheFields count="4">
    <cacheField name="age_group" numFmtId="0">
      <sharedItems count="4">
        <s v="&lt;30"/>
        <s v="&gt;60"/>
        <s v="30-45"/>
        <s v="46-60"/>
      </sharedItems>
    </cacheField>
    <cacheField name="total_customers" numFmtId="0">
      <sharedItems containsSemiMixedTypes="0" containsString="0" containsNumber="1" containsInteger="1" minValue="464" maxValue="6248"/>
    </cacheField>
    <cacheField name="churned" numFmtId="0">
      <sharedItems containsSemiMixedTypes="0" containsString="0" containsNumber="1" containsInteger="1" minValue="115" maxValue="956"/>
    </cacheField>
    <cacheField name="churn_rate" numFmtId="0">
      <sharedItems containsSemiMixedTypes="0" containsString="0" containsNumber="1" minValue="7.56" maxValue="51.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2.671069444441" createdVersion="8" refreshedVersion="8" minRefreshableVersion="3" recordCount="2" xr:uid="{5897B771-8736-4BE1-AA1A-D2F68E4162D6}">
  <cacheSource type="worksheet">
    <worksheetSource name="Active_number_vs_churn"/>
  </cacheSource>
  <cacheFields count="4">
    <cacheField name="active_member" numFmtId="0">
      <sharedItems containsSemiMixedTypes="0" containsString="0" containsNumber="1" containsInteger="1" minValue="0" maxValue="1" count="2">
        <n v="1"/>
        <n v="0"/>
      </sharedItems>
    </cacheField>
    <cacheField name="total_customers" numFmtId="0">
      <sharedItems containsSemiMixedTypes="0" containsString="0" containsNumber="1" containsInteger="1" minValue="4849" maxValue="5151"/>
    </cacheField>
    <cacheField name="churned" numFmtId="0">
      <sharedItems containsSemiMixedTypes="0" containsString="0" containsNumber="1" containsInteger="1" minValue="735" maxValue="1302"/>
    </cacheField>
    <cacheField name="churn_rate" numFmtId="0">
      <sharedItems containsSemiMixedTypes="0" containsString="0" containsNumber="1" minValue="14.27" maxValue="26.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n v="20.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413"/>
    <n v="95"/>
    <n v="23"/>
  </r>
  <r>
    <x v="1"/>
    <n v="1035"/>
    <n v="232"/>
    <n v="22.42"/>
  </r>
  <r>
    <x v="2"/>
    <n v="1048"/>
    <n v="201"/>
    <n v="19.18"/>
  </r>
  <r>
    <x v="3"/>
    <n v="1009"/>
    <n v="213"/>
    <n v="21.11"/>
  </r>
  <r>
    <x v="4"/>
    <n v="989"/>
    <n v="203"/>
    <n v="20.53"/>
  </r>
  <r>
    <x v="5"/>
    <n v="1012"/>
    <n v="209"/>
    <n v="20.65"/>
  </r>
  <r>
    <x v="6"/>
    <n v="967"/>
    <n v="196"/>
    <n v="20.27"/>
  </r>
  <r>
    <x v="7"/>
    <n v="1028"/>
    <n v="177"/>
    <n v="17.22"/>
  </r>
  <r>
    <x v="8"/>
    <n v="1025"/>
    <n v="197"/>
    <n v="19.22"/>
  </r>
  <r>
    <x v="9"/>
    <n v="984"/>
    <n v="213"/>
    <n v="21.65"/>
  </r>
  <r>
    <x v="10"/>
    <n v="490"/>
    <n v="101"/>
    <n v="20.6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084"/>
    <x v="0"/>
    <n v="27.71"/>
  </r>
  <r>
    <x v="1"/>
    <n v="4590"/>
    <x v="1"/>
    <n v="7.58"/>
  </r>
  <r>
    <x v="2"/>
    <n v="266"/>
    <x v="2"/>
    <n v="82.71"/>
  </r>
  <r>
    <x v="3"/>
    <n v="60"/>
    <x v="3"/>
    <n v="1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n v="1139"/>
    <n v="25.07"/>
  </r>
  <r>
    <x v="1"/>
    <x v="1"/>
    <n v="898"/>
    <n v="16.4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7055"/>
    <n v="1424"/>
    <n v="20.18"/>
  </r>
  <r>
    <x v="1"/>
    <n v="2945"/>
    <n v="613"/>
    <n v="20.8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509"/>
    <n v="814"/>
    <n v="32.44"/>
  </r>
  <r>
    <x v="1"/>
    <n v="2477"/>
    <n v="413"/>
    <n v="16.670000000000002"/>
  </r>
  <r>
    <x v="2"/>
    <n v="5014"/>
    <n v="810"/>
    <n v="16.14999999999999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692"/>
    <n v="526"/>
    <n v="14.25"/>
  </r>
  <r>
    <x v="1"/>
    <n v="34"/>
    <n v="19"/>
    <n v="55.88"/>
  </r>
  <r>
    <x v="2"/>
    <n v="4765"/>
    <n v="1192"/>
    <n v="25.02"/>
  </r>
  <r>
    <x v="3"/>
    <n v="1509"/>
    <n v="300"/>
    <n v="19.88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641"/>
    <n v="124"/>
    <n v="7.56"/>
  </r>
  <r>
    <x v="1"/>
    <n v="464"/>
    <n v="115"/>
    <n v="24.78"/>
  </r>
  <r>
    <x v="2"/>
    <n v="6248"/>
    <n v="956"/>
    <n v="15.3"/>
  </r>
  <r>
    <x v="3"/>
    <n v="1647"/>
    <n v="842"/>
    <n v="51.1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5151"/>
    <n v="735"/>
    <n v="14.27"/>
  </r>
  <r>
    <x v="1"/>
    <n v="4849"/>
    <n v="1302"/>
    <n v="26.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54235-2436-45AD-92F2-667425B964E2}" name="PivotTable10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6" firstHeaderRow="0" firstDataRow="1" firstDataCol="1"/>
  <pivotFields count="4"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customers" fld="1" baseField="0" baseItem="0"/>
    <dataField name="Sum of churned" fld="2" baseField="0" baseItem="0"/>
    <dataField name="Sum of churn_rate" fld="3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1CBB4-A873-43D5-BD5F-EB08FF7DDBA6}" name="PivotTable8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D8" firstHeaderRow="0" firstDataRow="1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customers" fld="1" baseField="0" baseItem="0"/>
    <dataField name="Sum of churned" fld="2" baseField="0" baseItem="0"/>
    <dataField name="Sum of churn_rate" fld="3" baseField="0" baseItem="0"/>
  </dataFields>
  <chartFormats count="18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3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3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3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3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29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13" format="30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0D88-2312-4D34-9CC7-204E39FCB248}" name="PivotTable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8" firstHeaderRow="0" firstDataRow="1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customers" fld="1" baseField="0" baseItem="0"/>
    <dataField name="Sum of churned" fld="2" baseField="0" baseItem="0"/>
    <dataField name="Sum of churn_rate" fld="3" baseField="0" baseItem="0"/>
  </dataFields>
  <chartFormats count="1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3" format="2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80AC8-F244-4219-9688-56E14AF71564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7" firstHeaderRow="0" firstDataRow="1" firstDataCol="1"/>
  <pivotFields count="4">
    <pivotField axis="axisRow" showAll="0">
      <items count="4">
        <item x="2"/>
        <item x="0"/>
        <item x="1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customers" fld="1" baseField="0" baseItem="0"/>
    <dataField name="Sum of churned" fld="2" baseField="0" baseItem="0"/>
    <dataField name="Sum of churn_rate" fld="3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7F471-EB95-4ACA-8663-60182B6F9DCD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D6" firstHeaderRow="0" firstDataRow="1" firstDataCol="1"/>
  <pivotFields count="4"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customers" fld="1" baseField="0" baseItem="0"/>
    <dataField name="Sum of churned" fld="2" baseField="0" baseItem="0"/>
    <dataField name="Sum of churn_rate" fld="3" baseField="0" baseItem="0"/>
  </dataFields>
  <chartFormats count="10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F1377-B79D-4886-AB3E-0C7C172BB40E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6" firstHeaderRow="0" firstDataRow="1" firstDataCol="1"/>
  <pivotFields count="4">
    <pivotField axis="axisRow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churned" fld="2" baseField="0" baseItem="0"/>
    <dataField name="Sum of total_customers" fld="1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A0E4D-1C9C-49A8-93D0-E0A06A4FD43F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">
  <location ref="A3:D8" firstHeaderRow="0" firstDataRow="1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customers" fld="1" baseField="0" baseItem="0"/>
    <dataField name="Sum of churned" fld="2" baseField="0" baseItem="0"/>
    <dataField name="Sum of churn_rate" fld="3" baseField="0" baseItem="0"/>
  </dataFields>
  <chartFormats count="20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9" format="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25F9A-3927-4BDD-8C84-29543D658DF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D15" firstHeaderRow="0" firstDataRow="1" firstDataCol="1"/>
  <pivotFields count="4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customers" fld="1" baseField="0" baseItem="0"/>
    <dataField name="Sum of churn_rate" fld="3" baseField="0" baseItem="0"/>
    <dataField name="Sum of total_churned" fld="2" baseField="0" baseItem="0"/>
  </dataFields>
  <chartFormats count="6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1635E-6767-4784-BF31-467EC828D1E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4" firstHeaderRow="0" firstDataRow="1" firstDataCol="0"/>
  <pivotFields count="2">
    <pivotField dataField="1" showAll="0">
      <items count="2">
        <item x="0"/>
        <item t="default"/>
      </items>
    </pivotField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churn_rate_percentage" fld="1" baseField="0" baseItem="0"/>
    <dataField name="Sum of total_churned" fld="0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" xr16:uid="{3F7D0DCF-E6BD-4935-B418-ECD0180E049F}" autoFormatId="16" applyNumberFormats="0" applyBorderFormats="0" applyFontFormats="0" applyPatternFormats="0" applyAlignmentFormats="0" applyWidthHeightFormats="0">
  <queryTableRefresh nextId="5">
    <queryTableFields count="4">
      <queryTableField id="1" name="active_member" tableColumnId="1"/>
      <queryTableField id="2" name="total_customers" tableColumnId="2"/>
      <queryTableField id="3" name="churned" tableColumnId="3"/>
      <queryTableField id="4" name="churn_ra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CAF3C623-D34C-4CFA-8730-AF01DE0E1635}" autoFormatId="16" applyNumberFormats="0" applyBorderFormats="0" applyFontFormats="0" applyPatternFormats="0" applyAlignmentFormats="0" applyWidthHeightFormats="0">
  <queryTableRefresh nextId="5">
    <queryTableFields count="4">
      <queryTableField id="1" name="age_group" tableColumnId="1"/>
      <queryTableField id="2" name="total_customers" tableColumnId="2"/>
      <queryTableField id="3" name="churned" tableColumnId="3"/>
      <queryTableField id="4" name="churn_rat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F1C38A3A-C1D0-419E-8C97-FC7A18C0704A}" autoFormatId="16" applyNumberFormats="0" applyBorderFormats="0" applyFontFormats="0" applyPatternFormats="0" applyAlignmentFormats="0" applyWidthHeightFormats="0">
  <queryTableRefresh nextId="5">
    <queryTableFields count="4">
      <queryTableField id="1" name="balance_range" tableColumnId="1"/>
      <queryTableField id="2" name="total_customers" tableColumnId="2"/>
      <queryTableField id="3" name="churned" tableColumnId="3"/>
      <queryTableField id="4" name="churn_rat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8D91307B-57D7-4E46-B035-AA9B3E62BD7C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total_customers" tableColumnId="2"/>
      <queryTableField id="3" name="churned" tableColumnId="3"/>
      <queryTableField id="4" name="churn_rat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E5BDDBFD-051D-4A06-92AF-D17DF25FB48C}" autoFormatId="16" applyNumberFormats="0" applyBorderFormats="0" applyFontFormats="0" applyPatternFormats="0" applyAlignmentFormats="0" applyWidthHeightFormats="0">
  <queryTableRefresh nextId="5">
    <queryTableFields count="4">
      <queryTableField id="1" name="credit_card" tableColumnId="1"/>
      <queryTableField id="2" name="total_customers" tableColumnId="2"/>
      <queryTableField id="3" name="churned" tableColumnId="3"/>
      <queryTableField id="4" name="churn_rat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063643AE-17BD-420A-B2FF-15E4FA1E3345}" autoFormatId="16" applyNumberFormats="0" applyBorderFormats="0" applyFontFormats="0" applyPatternFormats="0" applyAlignmentFormats="0" applyWidthHeightFormats="0">
  <queryTableRefresh nextId="5">
    <queryTableFields count="4">
      <queryTableField id="1" name="gender" tableColumnId="1"/>
      <queryTableField id="2" name="total_customers" tableColumnId="2"/>
      <queryTableField id="3" name="total_churned" tableColumnId="3"/>
      <queryTableField id="4" name="churn_rate_percentag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589F1351-7D1F-4FAA-ACAA-CCA63A312B05}" autoFormatId="16" applyNumberFormats="0" applyBorderFormats="0" applyFontFormats="0" applyPatternFormats="0" applyAlignmentFormats="0" applyWidthHeightFormats="0">
  <queryTableRefresh nextId="5">
    <queryTableFields count="4">
      <queryTableField id="1" name="products_number" tableColumnId="1"/>
      <queryTableField id="2" name="total_customers" tableColumnId="2"/>
      <queryTableField id="3" name="churned" tableColumnId="3"/>
      <queryTableField id="4" name="churn_rat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CAF9B320-2153-4E6A-8006-7D3118665F41}" autoFormatId="16" applyNumberFormats="0" applyBorderFormats="0" applyFontFormats="0" applyPatternFormats="0" applyAlignmentFormats="0" applyWidthHeightFormats="0">
  <queryTableRefresh nextId="5">
    <queryTableFields count="4">
      <queryTableField id="1" name="tenure" tableColumnId="1"/>
      <queryTableField id="2" name="total_customers" tableColumnId="2"/>
      <queryTableField id="3" name="total_churned" tableColumnId="3"/>
      <queryTableField id="4" name="churn_rate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B7CE1928-F389-431A-A3E6-E2168E13EA37}" autoFormatId="16" applyNumberFormats="0" applyBorderFormats="0" applyFontFormats="0" applyPatternFormats="0" applyAlignmentFormats="0" applyWidthHeightFormats="0">
  <queryTableRefresh nextId="3">
    <queryTableFields count="2">
      <queryTableField id="1" name="total_churned" tableColumnId="1"/>
      <queryTableField id="2" name="churn_rate_percentag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7A472BD-53AD-406F-8E1D-2F8E84DD77BC}" name="Active_number_vs_churn" displayName="Active_number_vs_churn" ref="A1:D3" tableType="queryTable" totalsRowShown="0">
  <autoFilter ref="A1:D3" xr:uid="{37A472BD-53AD-406F-8E1D-2F8E84DD77BC}"/>
  <tableColumns count="4">
    <tableColumn id="1" xr3:uid="{C9765387-E9F1-4521-84C6-E51C27DA0258}" uniqueName="1" name="active_member" queryTableFieldId="1"/>
    <tableColumn id="2" xr3:uid="{6CCC7A68-66D5-4995-B565-8033D4C56B3F}" uniqueName="2" name="total_customers" queryTableFieldId="2"/>
    <tableColumn id="3" xr3:uid="{3CD53213-6AA1-42BE-B0E6-D162D0273308}" uniqueName="3" name="churned" queryTableFieldId="3"/>
    <tableColumn id="4" xr3:uid="{7CD79EED-F13B-4811-B4E1-49C472E4A973}" uniqueName="4" name="churn_rat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F1B437-188E-4206-BF72-835C5EB72A98}" name="Age_group_vs_churn" displayName="Age_group_vs_churn" ref="A1:D5" tableType="queryTable" totalsRowShown="0">
  <autoFilter ref="A1:D5" xr:uid="{2DF1B437-188E-4206-BF72-835C5EB72A98}"/>
  <tableColumns count="4">
    <tableColumn id="1" xr3:uid="{9ABE22FF-46EF-4FE9-BBE4-420827C66D91}" uniqueName="1" name="age_group" queryTableFieldId="1" dataDxfId="0"/>
    <tableColumn id="2" xr3:uid="{E70D41E7-566E-46BD-87BF-81B4353AC963}" uniqueName="2" name="total_customers" queryTableFieldId="2"/>
    <tableColumn id="3" xr3:uid="{132B973B-34AA-488B-AB69-D9AED9987E56}" uniqueName="3" name="churned" queryTableFieldId="3"/>
    <tableColumn id="4" xr3:uid="{C8CCF99C-0184-4282-9BAE-AFEE7AB7A140}" uniqueName="4" name="churn_rat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3B6C957-EEB9-4060-846D-BE6875C21B98}" name="balance_vs_churn" displayName="balance_vs_churn" ref="A1:D5" tableType="queryTable" totalsRowShown="0">
  <autoFilter ref="A1:D5" xr:uid="{B3B6C957-EEB9-4060-846D-BE6875C21B98}"/>
  <tableColumns count="4">
    <tableColumn id="1" xr3:uid="{C906EA89-FCB8-494E-851A-20FFE3D8C8B8}" uniqueName="1" name="balance_range" queryTableFieldId="1" dataDxfId="1"/>
    <tableColumn id="2" xr3:uid="{FF9D3BE3-F822-48B8-8ECD-746B48B77D1B}" uniqueName="2" name="total_customers" queryTableFieldId="2"/>
    <tableColumn id="3" xr3:uid="{DC78FA53-FC6B-477F-B7EF-98EEC90CEF21}" uniqueName="3" name="churned" queryTableFieldId="3"/>
    <tableColumn id="4" xr3:uid="{2EE16288-8CF9-45D2-803E-9EC780128478}" uniqueName="4" name="churn_rat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33D96D-B51F-4BC9-AF1F-90145B13DE2A}" name="country_wise_churn" displayName="country_wise_churn" ref="A1:D4" tableType="queryTable" totalsRowShown="0">
  <autoFilter ref="A1:D4" xr:uid="{8A33D96D-B51F-4BC9-AF1F-90145B13DE2A}"/>
  <tableColumns count="4">
    <tableColumn id="1" xr3:uid="{8433964E-F2B4-4448-9992-1459E68B0D45}" uniqueName="1" name="country" queryTableFieldId="1" dataDxfId="2"/>
    <tableColumn id="2" xr3:uid="{C1A421EB-A64C-4335-A705-A61395692980}" uniqueName="2" name="total_customers" queryTableFieldId="2"/>
    <tableColumn id="3" xr3:uid="{B6B52C69-9CE5-480D-B5FE-641AF72FE3C2}" uniqueName="3" name="churned" queryTableFieldId="3"/>
    <tableColumn id="4" xr3:uid="{B8874845-FE80-42F3-B159-294969BC9C3E}" uniqueName="4" name="churn_rate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E11590-8FB2-4D8C-845C-9B551FFA0000}" name="Credit_card_vs_churn" displayName="Credit_card_vs_churn" ref="A1:D3" tableType="queryTable" totalsRowShown="0">
  <autoFilter ref="A1:D3" xr:uid="{C2E11590-8FB2-4D8C-845C-9B551FFA0000}"/>
  <tableColumns count="4">
    <tableColumn id="1" xr3:uid="{2D6ADE4C-04F1-44E6-89EB-A39230B061EA}" uniqueName="1" name="credit_card" queryTableFieldId="1"/>
    <tableColumn id="2" xr3:uid="{2CCAF418-EF11-4467-91FF-95F446F3B99D}" uniqueName="2" name="total_customers" queryTableFieldId="2"/>
    <tableColumn id="3" xr3:uid="{36C38865-4931-4E26-B121-C0F026C5A781}" uniqueName="3" name="churned" queryTableFieldId="3"/>
    <tableColumn id="4" xr3:uid="{BB683848-2DDB-4280-9C36-FF93A24DB288}" uniqueName="4" name="churn_rate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0F7960-6190-464A-88E7-2C0E660D8E19}" name="gender_wise_churn" displayName="gender_wise_churn" ref="A1:D3" tableType="queryTable" totalsRowShown="0">
  <autoFilter ref="A1:D3" xr:uid="{750F7960-6190-464A-88E7-2C0E660D8E19}"/>
  <tableColumns count="4">
    <tableColumn id="1" xr3:uid="{F9160CD6-D053-45A7-AAD9-D1F4E946051B}" uniqueName="1" name="gender" queryTableFieldId="1" dataDxfId="3"/>
    <tableColumn id="2" xr3:uid="{01A8A55F-F078-43DA-BC1F-73D5F5CFEB8C}" uniqueName="2" name="total_customers" queryTableFieldId="2"/>
    <tableColumn id="3" xr3:uid="{00FE8D98-3F1D-4848-8396-A58502CFFF14}" uniqueName="3" name="total_churned" queryTableFieldId="3"/>
    <tableColumn id="4" xr3:uid="{E040110F-64DA-4CF7-B452-C5D7A9EB8323}" uniqueName="4" name="churn_rate_percentage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8054CE-BB45-40CF-8286-2333EF7D7E4F}" name="product_number_vs_churn" displayName="product_number_vs_churn" ref="A1:D5" tableType="queryTable" totalsRowShown="0">
  <autoFilter ref="A1:D5" xr:uid="{958054CE-BB45-40CF-8286-2333EF7D7E4F}"/>
  <tableColumns count="4">
    <tableColumn id="1" xr3:uid="{037507DD-B3AC-425D-9F08-396192965336}" uniqueName="1" name="products_number" queryTableFieldId="1"/>
    <tableColumn id="2" xr3:uid="{1AB6147E-BC5F-4BFA-AC77-21BE9B622F2B}" uniqueName="2" name="total_customers" queryTableFieldId="2"/>
    <tableColumn id="3" xr3:uid="{635F3F28-482B-496D-9ACA-78D7E2140EF1}" uniqueName="3" name="churned" queryTableFieldId="3"/>
    <tableColumn id="4" xr3:uid="{6B9846BB-4A17-4FED-807C-77F064E8E4A7}" uniqueName="4" name="churn_rate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0B76F9-A6BE-4D1A-AF9D-14E7A3B27016}" name="Tenure_vs_churn" displayName="Tenure_vs_churn" ref="A1:D12" tableType="queryTable" totalsRowShown="0">
  <autoFilter ref="A1:D12" xr:uid="{CC0B76F9-A6BE-4D1A-AF9D-14E7A3B27016}"/>
  <tableColumns count="4">
    <tableColumn id="1" xr3:uid="{6B0CC5FB-B0F7-45A7-A51B-73964536CBC0}" uniqueName="1" name="tenure" queryTableFieldId="1"/>
    <tableColumn id="2" xr3:uid="{3484BE84-C005-4306-BE69-B0A1E7C00360}" uniqueName="2" name="total_customers" queryTableFieldId="2"/>
    <tableColumn id="3" xr3:uid="{8861B271-1ABE-418B-9433-5EB4852E6896}" uniqueName="3" name="total_churned" queryTableFieldId="3"/>
    <tableColumn id="4" xr3:uid="{071C78A1-8D47-46D8-8314-ABBF9E1F9FFD}" uniqueName="4" name="churn_rate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A4EC6F-719D-42FF-8258-DDE27C6A9ACB}" name="Total_churned_customers_chrun_rate__2" displayName="Total_churned_customers_chrun_rate__2" ref="A1:B2" tableType="queryTable" totalsRowShown="0">
  <autoFilter ref="A1:B2" xr:uid="{5EA4EC6F-719D-42FF-8258-DDE27C6A9ACB}"/>
  <tableColumns count="2">
    <tableColumn id="1" xr3:uid="{1950AF6F-959D-4911-8D2A-6BFF5AA71AF0}" uniqueName="1" name="total_churned" queryTableFieldId="1"/>
    <tableColumn id="2" xr3:uid="{D52DF1D1-86F7-41EA-A4F9-94A079A36B82}" uniqueName="2" name="churn_rate_percentag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983A-8EF1-48A6-9879-111B10CB3806}">
  <dimension ref="A3:D6"/>
  <sheetViews>
    <sheetView workbookViewId="0">
      <selection activeCell="C8" sqref="C8:I25"/>
    </sheetView>
  </sheetViews>
  <sheetFormatPr defaultRowHeight="14.4" x14ac:dyDescent="0.3"/>
  <cols>
    <col min="1" max="1" width="12.5546875" bestFit="1" customWidth="1"/>
    <col min="2" max="2" width="21.33203125" bestFit="1" customWidth="1"/>
    <col min="3" max="3" width="14.5546875" bestFit="1" customWidth="1"/>
    <col min="4" max="4" width="16.77734375" bestFit="1" customWidth="1"/>
  </cols>
  <sheetData>
    <row r="3" spans="1:4" x14ac:dyDescent="0.3">
      <c r="A3" s="2" t="s">
        <v>26</v>
      </c>
      <c r="B3" t="s">
        <v>30</v>
      </c>
      <c r="C3" t="s">
        <v>32</v>
      </c>
      <c r="D3" t="s">
        <v>31</v>
      </c>
    </row>
    <row r="4" spans="1:4" x14ac:dyDescent="0.3">
      <c r="A4" s="3">
        <v>0</v>
      </c>
      <c r="B4" s="1">
        <v>4849</v>
      </c>
      <c r="C4" s="1">
        <v>1302</v>
      </c>
      <c r="D4" s="1">
        <v>26.85</v>
      </c>
    </row>
    <row r="5" spans="1:4" x14ac:dyDescent="0.3">
      <c r="A5" s="3">
        <v>1</v>
      </c>
      <c r="B5" s="1">
        <v>5151</v>
      </c>
      <c r="C5" s="1">
        <v>735</v>
      </c>
      <c r="D5" s="1">
        <v>14.27</v>
      </c>
    </row>
    <row r="6" spans="1:4" x14ac:dyDescent="0.3">
      <c r="A6" s="3" t="s">
        <v>27</v>
      </c>
      <c r="B6" s="1">
        <v>10000</v>
      </c>
      <c r="C6" s="1">
        <v>2037</v>
      </c>
      <c r="D6" s="1">
        <v>41.120000000000005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A77C-9BBD-45C5-A213-AD126FC6B91F}">
  <dimension ref="A1:D3"/>
  <sheetViews>
    <sheetView workbookViewId="0"/>
  </sheetViews>
  <sheetFormatPr defaultRowHeight="14.4" x14ac:dyDescent="0.3"/>
  <cols>
    <col min="1" max="1" width="16.44140625" bestFit="1" customWidth="1"/>
    <col min="2" max="2" width="16.88671875" bestFit="1" customWidth="1"/>
    <col min="3" max="3" width="10.21875" bestFit="1" customWidth="1"/>
    <col min="4" max="4" width="12.44140625" bestFit="1" customWidth="1"/>
  </cols>
  <sheetData>
    <row r="1" spans="1:4" x14ac:dyDescent="0.3">
      <c r="A1" t="s">
        <v>25</v>
      </c>
      <c r="B1" t="s">
        <v>3</v>
      </c>
      <c r="C1" t="s">
        <v>6</v>
      </c>
      <c r="D1" t="s">
        <v>4</v>
      </c>
    </row>
    <row r="2" spans="1:4" x14ac:dyDescent="0.3">
      <c r="A2">
        <v>1</v>
      </c>
      <c r="B2">
        <v>5151</v>
      </c>
      <c r="C2">
        <v>735</v>
      </c>
      <c r="D2">
        <v>14.27</v>
      </c>
    </row>
    <row r="3" spans="1:4" x14ac:dyDescent="0.3">
      <c r="A3">
        <v>0</v>
      </c>
      <c r="B3">
        <v>4849</v>
      </c>
      <c r="C3">
        <v>1302</v>
      </c>
      <c r="D3">
        <v>26.85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DE46-473B-4FA7-A11D-5D2B4ABDF73B}">
  <dimension ref="A3:D8"/>
  <sheetViews>
    <sheetView workbookViewId="0">
      <selection activeCell="D11" sqref="D11:J22"/>
    </sheetView>
  </sheetViews>
  <sheetFormatPr defaultRowHeight="14.4" x14ac:dyDescent="0.3"/>
  <cols>
    <col min="1" max="1" width="12.5546875" bestFit="1" customWidth="1"/>
    <col min="2" max="2" width="21.33203125" bestFit="1" customWidth="1"/>
    <col min="3" max="3" width="14.5546875" bestFit="1" customWidth="1"/>
    <col min="4" max="4" width="16.77734375" bestFit="1" customWidth="1"/>
  </cols>
  <sheetData>
    <row r="3" spans="1:4" x14ac:dyDescent="0.3">
      <c r="A3" s="2" t="s">
        <v>26</v>
      </c>
      <c r="B3" t="s">
        <v>30</v>
      </c>
      <c r="C3" t="s">
        <v>32</v>
      </c>
      <c r="D3" t="s">
        <v>31</v>
      </c>
    </row>
    <row r="4" spans="1:4" x14ac:dyDescent="0.3">
      <c r="A4" s="3" t="s">
        <v>21</v>
      </c>
      <c r="B4" s="1">
        <v>1641</v>
      </c>
      <c r="C4" s="1">
        <v>124</v>
      </c>
      <c r="D4" s="1">
        <v>7.56</v>
      </c>
    </row>
    <row r="5" spans="1:4" x14ac:dyDescent="0.3">
      <c r="A5" s="3" t="s">
        <v>22</v>
      </c>
      <c r="B5" s="1">
        <v>464</v>
      </c>
      <c r="C5" s="1">
        <v>115</v>
      </c>
      <c r="D5" s="1">
        <v>24.78</v>
      </c>
    </row>
    <row r="6" spans="1:4" x14ac:dyDescent="0.3">
      <c r="A6" s="3" t="s">
        <v>23</v>
      </c>
      <c r="B6" s="1">
        <v>6248</v>
      </c>
      <c r="C6" s="1">
        <v>956</v>
      </c>
      <c r="D6" s="1">
        <v>15.3</v>
      </c>
    </row>
    <row r="7" spans="1:4" x14ac:dyDescent="0.3">
      <c r="A7" s="3" t="s">
        <v>24</v>
      </c>
      <c r="B7" s="1">
        <v>1647</v>
      </c>
      <c r="C7" s="1">
        <v>842</v>
      </c>
      <c r="D7" s="1">
        <v>51.12</v>
      </c>
    </row>
    <row r="8" spans="1:4" x14ac:dyDescent="0.3">
      <c r="A8" s="3" t="s">
        <v>27</v>
      </c>
      <c r="B8" s="1">
        <v>10000</v>
      </c>
      <c r="C8" s="1">
        <v>2037</v>
      </c>
      <c r="D8" s="1">
        <v>98.759999999999991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38D0-1E4B-4945-BBF4-044E08D20516}">
  <dimension ref="A1:D5"/>
  <sheetViews>
    <sheetView workbookViewId="0"/>
  </sheetViews>
  <sheetFormatPr defaultRowHeight="14.4" x14ac:dyDescent="0.3"/>
  <cols>
    <col min="1" max="1" width="12.21875" bestFit="1" customWidth="1"/>
    <col min="2" max="2" width="16.88671875" bestFit="1" customWidth="1"/>
    <col min="3" max="3" width="10.21875" bestFit="1" customWidth="1"/>
    <col min="4" max="4" width="12.44140625" bestFit="1" customWidth="1"/>
  </cols>
  <sheetData>
    <row r="1" spans="1:4" x14ac:dyDescent="0.3">
      <c r="A1" t="s">
        <v>20</v>
      </c>
      <c r="B1" t="s">
        <v>3</v>
      </c>
      <c r="C1" t="s">
        <v>6</v>
      </c>
      <c r="D1" t="s">
        <v>4</v>
      </c>
    </row>
    <row r="2" spans="1:4" x14ac:dyDescent="0.3">
      <c r="A2" s="1" t="s">
        <v>21</v>
      </c>
      <c r="B2">
        <v>1641</v>
      </c>
      <c r="C2">
        <v>124</v>
      </c>
      <c r="D2">
        <v>7.56</v>
      </c>
    </row>
    <row r="3" spans="1:4" x14ac:dyDescent="0.3">
      <c r="A3" s="1" t="s">
        <v>22</v>
      </c>
      <c r="B3">
        <v>464</v>
      </c>
      <c r="C3">
        <v>115</v>
      </c>
      <c r="D3">
        <v>24.78</v>
      </c>
    </row>
    <row r="4" spans="1:4" x14ac:dyDescent="0.3">
      <c r="A4" s="1" t="s">
        <v>23</v>
      </c>
      <c r="B4">
        <v>6248</v>
      </c>
      <c r="C4">
        <v>956</v>
      </c>
      <c r="D4">
        <v>15.3</v>
      </c>
    </row>
    <row r="5" spans="1:4" x14ac:dyDescent="0.3">
      <c r="A5" s="1" t="s">
        <v>24</v>
      </c>
      <c r="B5">
        <v>1647</v>
      </c>
      <c r="C5">
        <v>842</v>
      </c>
      <c r="D5">
        <v>51.12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359B-8378-4DB9-B58B-A49BF1430D8C}">
  <dimension ref="A3:D8"/>
  <sheetViews>
    <sheetView workbookViewId="0">
      <selection activeCell="D10" sqref="D10:K24"/>
    </sheetView>
  </sheetViews>
  <sheetFormatPr defaultRowHeight="14.4" x14ac:dyDescent="0.3"/>
  <cols>
    <col min="1" max="1" width="12.5546875" bestFit="1" customWidth="1"/>
    <col min="2" max="2" width="21.33203125" bestFit="1" customWidth="1"/>
    <col min="3" max="3" width="14.5546875" bestFit="1" customWidth="1"/>
    <col min="4" max="4" width="16.77734375" bestFit="1" customWidth="1"/>
  </cols>
  <sheetData>
    <row r="3" spans="1:4" x14ac:dyDescent="0.3">
      <c r="A3" s="2" t="s">
        <v>26</v>
      </c>
      <c r="B3" t="s">
        <v>30</v>
      </c>
      <c r="C3" t="s">
        <v>32</v>
      </c>
      <c r="D3" t="s">
        <v>31</v>
      </c>
    </row>
    <row r="4" spans="1:4" x14ac:dyDescent="0.3">
      <c r="A4" s="3" t="s">
        <v>16</v>
      </c>
      <c r="B4" s="1">
        <v>3692</v>
      </c>
      <c r="C4" s="1">
        <v>526</v>
      </c>
      <c r="D4" s="1">
        <v>14.25</v>
      </c>
    </row>
    <row r="5" spans="1:4" x14ac:dyDescent="0.3">
      <c r="A5" s="3" t="s">
        <v>17</v>
      </c>
      <c r="B5" s="1">
        <v>34</v>
      </c>
      <c r="C5" s="1">
        <v>19</v>
      </c>
      <c r="D5" s="1">
        <v>55.88</v>
      </c>
    </row>
    <row r="6" spans="1:4" x14ac:dyDescent="0.3">
      <c r="A6" s="3" t="s">
        <v>18</v>
      </c>
      <c r="B6" s="1">
        <v>4765</v>
      </c>
      <c r="C6" s="1">
        <v>1192</v>
      </c>
      <c r="D6" s="1">
        <v>25.02</v>
      </c>
    </row>
    <row r="7" spans="1:4" x14ac:dyDescent="0.3">
      <c r="A7" s="3" t="s">
        <v>19</v>
      </c>
      <c r="B7" s="1">
        <v>1509</v>
      </c>
      <c r="C7" s="1">
        <v>300</v>
      </c>
      <c r="D7" s="1">
        <v>19.88</v>
      </c>
    </row>
    <row r="8" spans="1:4" x14ac:dyDescent="0.3">
      <c r="A8" s="3" t="s">
        <v>27</v>
      </c>
      <c r="B8" s="1">
        <v>10000</v>
      </c>
      <c r="C8" s="1">
        <v>2037</v>
      </c>
      <c r="D8" s="1">
        <v>115.02999999999999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389D-60D4-4CF8-A0B3-ADDC0276E8B7}">
  <dimension ref="A1:D5"/>
  <sheetViews>
    <sheetView workbookViewId="0"/>
  </sheetViews>
  <sheetFormatPr defaultRowHeight="14.4" x14ac:dyDescent="0.3"/>
  <cols>
    <col min="1" max="1" width="15.6640625" bestFit="1" customWidth="1"/>
    <col min="2" max="2" width="16.88671875" bestFit="1" customWidth="1"/>
    <col min="3" max="3" width="10.21875" bestFit="1" customWidth="1"/>
    <col min="4" max="4" width="12.44140625" bestFit="1" customWidth="1"/>
  </cols>
  <sheetData>
    <row r="1" spans="1:4" x14ac:dyDescent="0.3">
      <c r="A1" t="s">
        <v>15</v>
      </c>
      <c r="B1" t="s">
        <v>3</v>
      </c>
      <c r="C1" t="s">
        <v>6</v>
      </c>
      <c r="D1" t="s">
        <v>4</v>
      </c>
    </row>
    <row r="2" spans="1:4" x14ac:dyDescent="0.3">
      <c r="A2" s="1" t="s">
        <v>16</v>
      </c>
      <c r="B2">
        <v>3692</v>
      </c>
      <c r="C2">
        <v>526</v>
      </c>
      <c r="D2">
        <v>14.25</v>
      </c>
    </row>
    <row r="3" spans="1:4" x14ac:dyDescent="0.3">
      <c r="A3" s="1" t="s">
        <v>17</v>
      </c>
      <c r="B3">
        <v>34</v>
      </c>
      <c r="C3">
        <v>19</v>
      </c>
      <c r="D3">
        <v>55.88</v>
      </c>
    </row>
    <row r="4" spans="1:4" x14ac:dyDescent="0.3">
      <c r="A4" s="1" t="s">
        <v>18</v>
      </c>
      <c r="B4">
        <v>4765</v>
      </c>
      <c r="C4">
        <v>1192</v>
      </c>
      <c r="D4">
        <v>25.02</v>
      </c>
    </row>
    <row r="5" spans="1:4" x14ac:dyDescent="0.3">
      <c r="A5" s="1" t="s">
        <v>19</v>
      </c>
      <c r="B5">
        <v>1509</v>
      </c>
      <c r="C5">
        <v>300</v>
      </c>
      <c r="D5">
        <v>19.88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B144-AC82-4EA8-9E15-676A3EF074C4}">
  <dimension ref="A3:D7"/>
  <sheetViews>
    <sheetView workbookViewId="0">
      <selection activeCell="D10" sqref="D10:J24"/>
    </sheetView>
  </sheetViews>
  <sheetFormatPr defaultRowHeight="14.4" x14ac:dyDescent="0.3"/>
  <cols>
    <col min="1" max="1" width="12.5546875" bestFit="1" customWidth="1"/>
    <col min="2" max="2" width="21.33203125" bestFit="1" customWidth="1"/>
    <col min="3" max="3" width="14.5546875" bestFit="1" customWidth="1"/>
    <col min="4" max="4" width="16.77734375" bestFit="1" customWidth="1"/>
  </cols>
  <sheetData>
    <row r="3" spans="1:4" x14ac:dyDescent="0.3">
      <c r="A3" s="2" t="s">
        <v>26</v>
      </c>
      <c r="B3" t="s">
        <v>30</v>
      </c>
      <c r="C3" t="s">
        <v>32</v>
      </c>
      <c r="D3" t="s">
        <v>31</v>
      </c>
    </row>
    <row r="4" spans="1:4" x14ac:dyDescent="0.3">
      <c r="A4" s="3" t="s">
        <v>14</v>
      </c>
      <c r="B4" s="1">
        <v>5014</v>
      </c>
      <c r="C4" s="1">
        <v>810</v>
      </c>
      <c r="D4" s="1">
        <v>16.149999999999999</v>
      </c>
    </row>
    <row r="5" spans="1:4" x14ac:dyDescent="0.3">
      <c r="A5" s="3" t="s">
        <v>12</v>
      </c>
      <c r="B5" s="1">
        <v>2509</v>
      </c>
      <c r="C5" s="1">
        <v>814</v>
      </c>
      <c r="D5" s="1">
        <v>32.44</v>
      </c>
    </row>
    <row r="6" spans="1:4" x14ac:dyDescent="0.3">
      <c r="A6" s="3" t="s">
        <v>13</v>
      </c>
      <c r="B6" s="1">
        <v>2477</v>
      </c>
      <c r="C6" s="1">
        <v>413</v>
      </c>
      <c r="D6" s="1">
        <v>16.670000000000002</v>
      </c>
    </row>
    <row r="7" spans="1:4" x14ac:dyDescent="0.3">
      <c r="A7" s="3" t="s">
        <v>27</v>
      </c>
      <c r="B7" s="1">
        <v>10000</v>
      </c>
      <c r="C7" s="1">
        <v>2037</v>
      </c>
      <c r="D7" s="1">
        <v>65.259999999999991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40D8-A5D8-4306-9208-486F714EA971}">
  <dimension ref="A1:D4"/>
  <sheetViews>
    <sheetView workbookViewId="0"/>
  </sheetViews>
  <sheetFormatPr defaultRowHeight="14.4" x14ac:dyDescent="0.3"/>
  <cols>
    <col min="1" max="1" width="9.77734375" bestFit="1" customWidth="1"/>
    <col min="2" max="2" width="16.88671875" bestFit="1" customWidth="1"/>
    <col min="3" max="3" width="10.21875" bestFit="1" customWidth="1"/>
    <col min="4" max="4" width="12.44140625" bestFit="1" customWidth="1"/>
  </cols>
  <sheetData>
    <row r="1" spans="1:4" x14ac:dyDescent="0.3">
      <c r="A1" t="s">
        <v>11</v>
      </c>
      <c r="B1" t="s">
        <v>3</v>
      </c>
      <c r="C1" t="s">
        <v>6</v>
      </c>
      <c r="D1" t="s">
        <v>4</v>
      </c>
    </row>
    <row r="2" spans="1:4" x14ac:dyDescent="0.3">
      <c r="A2" s="1" t="s">
        <v>12</v>
      </c>
      <c r="B2">
        <v>2509</v>
      </c>
      <c r="C2">
        <v>814</v>
      </c>
      <c r="D2">
        <v>32.44</v>
      </c>
    </row>
    <row r="3" spans="1:4" x14ac:dyDescent="0.3">
      <c r="A3" s="1" t="s">
        <v>13</v>
      </c>
      <c r="B3">
        <v>2477</v>
      </c>
      <c r="C3">
        <v>413</v>
      </c>
      <c r="D3">
        <v>16.670000000000002</v>
      </c>
    </row>
    <row r="4" spans="1:4" x14ac:dyDescent="0.3">
      <c r="A4" s="1" t="s">
        <v>14</v>
      </c>
      <c r="B4">
        <v>5014</v>
      </c>
      <c r="C4">
        <v>810</v>
      </c>
      <c r="D4">
        <v>16.149999999999999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BD3A-5E0D-4688-B41D-CF16C25FF0E1}">
  <dimension ref="A3:D6"/>
  <sheetViews>
    <sheetView workbookViewId="0">
      <selection activeCell="D8" sqref="D8:K27"/>
    </sheetView>
  </sheetViews>
  <sheetFormatPr defaultRowHeight="14.4" x14ac:dyDescent="0.3"/>
  <cols>
    <col min="1" max="1" width="12.5546875" bestFit="1" customWidth="1"/>
    <col min="2" max="2" width="21.33203125" bestFit="1" customWidth="1"/>
    <col min="3" max="3" width="14.5546875" bestFit="1" customWidth="1"/>
    <col min="4" max="4" width="16.77734375" bestFit="1" customWidth="1"/>
  </cols>
  <sheetData>
    <row r="3" spans="1:4" x14ac:dyDescent="0.3">
      <c r="A3" s="2" t="s">
        <v>26</v>
      </c>
      <c r="B3" t="s">
        <v>30</v>
      </c>
      <c r="C3" t="s">
        <v>32</v>
      </c>
      <c r="D3" t="s">
        <v>31</v>
      </c>
    </row>
    <row r="4" spans="1:4" x14ac:dyDescent="0.3">
      <c r="A4" s="3">
        <v>0</v>
      </c>
      <c r="B4" s="1">
        <v>2945</v>
      </c>
      <c r="C4" s="1">
        <v>613</v>
      </c>
      <c r="D4" s="1">
        <v>20.81</v>
      </c>
    </row>
    <row r="5" spans="1:4" x14ac:dyDescent="0.3">
      <c r="A5" s="3">
        <v>1</v>
      </c>
      <c r="B5" s="1">
        <v>7055</v>
      </c>
      <c r="C5" s="1">
        <v>1424</v>
      </c>
      <c r="D5" s="1">
        <v>20.18</v>
      </c>
    </row>
    <row r="6" spans="1:4" x14ac:dyDescent="0.3">
      <c r="A6" s="3" t="s">
        <v>27</v>
      </c>
      <c r="B6" s="1">
        <v>10000</v>
      </c>
      <c r="C6" s="1">
        <v>2037</v>
      </c>
      <c r="D6" s="1">
        <v>40.989999999999995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9550-6BD5-48DE-9D41-87CC34EAB755}">
  <dimension ref="A1:D3"/>
  <sheetViews>
    <sheetView workbookViewId="0"/>
  </sheetViews>
  <sheetFormatPr defaultRowHeight="14.4" x14ac:dyDescent="0.3"/>
  <cols>
    <col min="1" max="1" width="12.6640625" bestFit="1" customWidth="1"/>
    <col min="2" max="2" width="16.88671875" bestFit="1" customWidth="1"/>
    <col min="3" max="3" width="10.21875" bestFit="1" customWidth="1"/>
    <col min="4" max="4" width="12.44140625" bestFit="1" customWidth="1"/>
  </cols>
  <sheetData>
    <row r="1" spans="1:4" x14ac:dyDescent="0.3">
      <c r="A1" t="s">
        <v>10</v>
      </c>
      <c r="B1" t="s">
        <v>3</v>
      </c>
      <c r="C1" t="s">
        <v>6</v>
      </c>
      <c r="D1" t="s">
        <v>4</v>
      </c>
    </row>
    <row r="2" spans="1:4" x14ac:dyDescent="0.3">
      <c r="A2">
        <v>1</v>
      </c>
      <c r="B2">
        <v>7055</v>
      </c>
      <c r="C2">
        <v>1424</v>
      </c>
      <c r="D2">
        <v>20.18</v>
      </c>
    </row>
    <row r="3" spans="1:4" x14ac:dyDescent="0.3">
      <c r="A3">
        <v>0</v>
      </c>
      <c r="B3">
        <v>2945</v>
      </c>
      <c r="C3">
        <v>613</v>
      </c>
      <c r="D3">
        <v>20.81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E876-269F-4E75-B567-B01AD043B05E}">
  <dimension ref="A3:C6"/>
  <sheetViews>
    <sheetView workbookViewId="0">
      <selection activeCell="D8" sqref="D8:L23"/>
    </sheetView>
  </sheetViews>
  <sheetFormatPr defaultRowHeight="14.4" x14ac:dyDescent="0.3"/>
  <cols>
    <col min="1" max="1" width="12.5546875" bestFit="1" customWidth="1"/>
    <col min="2" max="2" width="19.5546875" bestFit="1" customWidth="1"/>
    <col min="3" max="3" width="21.33203125" bestFit="1" customWidth="1"/>
  </cols>
  <sheetData>
    <row r="3" spans="1:3" x14ac:dyDescent="0.3">
      <c r="A3" s="2" t="s">
        <v>26</v>
      </c>
      <c r="B3" t="s">
        <v>29</v>
      </c>
      <c r="C3" t="s">
        <v>30</v>
      </c>
    </row>
    <row r="4" spans="1:3" x14ac:dyDescent="0.3">
      <c r="A4" s="3" t="s">
        <v>8</v>
      </c>
      <c r="B4" s="1">
        <v>1139</v>
      </c>
      <c r="C4" s="1">
        <v>4543</v>
      </c>
    </row>
    <row r="5" spans="1:3" x14ac:dyDescent="0.3">
      <c r="A5" s="3" t="s">
        <v>9</v>
      </c>
      <c r="B5" s="1">
        <v>898</v>
      </c>
      <c r="C5" s="1">
        <v>5457</v>
      </c>
    </row>
    <row r="6" spans="1:3" x14ac:dyDescent="0.3">
      <c r="A6" s="3" t="s">
        <v>27</v>
      </c>
      <c r="B6" s="1">
        <v>2037</v>
      </c>
      <c r="C6" s="1">
        <v>10000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C9C9-C9A8-4771-850D-8045CD25B7B4}">
  <dimension ref="A1:D3"/>
  <sheetViews>
    <sheetView workbookViewId="0"/>
  </sheetViews>
  <sheetFormatPr defaultRowHeight="14.4" x14ac:dyDescent="0.3"/>
  <cols>
    <col min="1" max="1" width="9.109375" bestFit="1" customWidth="1"/>
    <col min="2" max="2" width="16.88671875" bestFit="1" customWidth="1"/>
    <col min="3" max="3" width="15.109375" bestFit="1" customWidth="1"/>
    <col min="4" max="4" width="23.109375" bestFit="1" customWidth="1"/>
  </cols>
  <sheetData>
    <row r="1" spans="1:4" x14ac:dyDescent="0.3">
      <c r="A1" t="s">
        <v>7</v>
      </c>
      <c r="B1" t="s">
        <v>3</v>
      </c>
      <c r="C1" t="s">
        <v>0</v>
      </c>
      <c r="D1" t="s">
        <v>1</v>
      </c>
    </row>
    <row r="2" spans="1:4" x14ac:dyDescent="0.3">
      <c r="A2" s="1" t="s">
        <v>8</v>
      </c>
      <c r="B2">
        <v>4543</v>
      </c>
      <c r="C2">
        <v>1139</v>
      </c>
      <c r="D2">
        <v>25.07</v>
      </c>
    </row>
    <row r="3" spans="1:4" x14ac:dyDescent="0.3">
      <c r="A3" s="1" t="s">
        <v>9</v>
      </c>
      <c r="B3">
        <v>5457</v>
      </c>
      <c r="C3">
        <v>898</v>
      </c>
      <c r="D3">
        <v>16.46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69B8-C38F-4038-A161-4E1710313B2E}">
  <dimension ref="A3:D8"/>
  <sheetViews>
    <sheetView workbookViewId="0">
      <selection activeCell="E7" sqref="E7:H24"/>
    </sheetView>
  </sheetViews>
  <sheetFormatPr defaultRowHeight="14.4" x14ac:dyDescent="0.3"/>
  <cols>
    <col min="1" max="1" width="12.5546875" bestFit="1" customWidth="1"/>
    <col min="2" max="2" width="21.33203125" bestFit="1" customWidth="1"/>
    <col min="3" max="3" width="14.5546875" bestFit="1" customWidth="1"/>
    <col min="4" max="4" width="16.77734375" bestFit="1" customWidth="1"/>
    <col min="5" max="5" width="10.77734375" bestFit="1" customWidth="1"/>
    <col min="6" max="8" width="21.33203125" bestFit="1" customWidth="1"/>
    <col min="9" max="9" width="26.109375" bestFit="1" customWidth="1"/>
    <col min="10" max="11" width="21.6640625" bestFit="1" customWidth="1"/>
  </cols>
  <sheetData>
    <row r="3" spans="1:4" x14ac:dyDescent="0.3">
      <c r="A3" s="2" t="s">
        <v>33</v>
      </c>
      <c r="B3" t="s">
        <v>30</v>
      </c>
      <c r="C3" t="s">
        <v>32</v>
      </c>
      <c r="D3" t="s">
        <v>31</v>
      </c>
    </row>
    <row r="4" spans="1:4" x14ac:dyDescent="0.3">
      <c r="A4" s="3">
        <v>1</v>
      </c>
      <c r="B4" s="1">
        <v>5084</v>
      </c>
      <c r="C4" s="1">
        <v>1409</v>
      </c>
      <c r="D4" s="1">
        <v>27.71</v>
      </c>
    </row>
    <row r="5" spans="1:4" x14ac:dyDescent="0.3">
      <c r="A5" s="3">
        <v>2</v>
      </c>
      <c r="B5" s="1">
        <v>4590</v>
      </c>
      <c r="C5" s="1">
        <v>348</v>
      </c>
      <c r="D5" s="1">
        <v>7.58</v>
      </c>
    </row>
    <row r="6" spans="1:4" x14ac:dyDescent="0.3">
      <c r="A6" s="3">
        <v>3</v>
      </c>
      <c r="B6" s="1">
        <v>266</v>
      </c>
      <c r="C6" s="1">
        <v>220</v>
      </c>
      <c r="D6" s="1">
        <v>82.71</v>
      </c>
    </row>
    <row r="7" spans="1:4" x14ac:dyDescent="0.3">
      <c r="A7" s="3">
        <v>4</v>
      </c>
      <c r="B7" s="1">
        <v>60</v>
      </c>
      <c r="C7" s="1">
        <v>60</v>
      </c>
      <c r="D7" s="1">
        <v>100</v>
      </c>
    </row>
    <row r="8" spans="1:4" x14ac:dyDescent="0.3">
      <c r="A8" s="3" t="s">
        <v>27</v>
      </c>
      <c r="B8" s="1">
        <v>10000</v>
      </c>
      <c r="C8" s="1">
        <v>2037</v>
      </c>
      <c r="D8" s="1">
        <v>218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BE40-E62F-45A8-894E-2F92CFD6070B}">
  <dimension ref="A1:D5"/>
  <sheetViews>
    <sheetView workbookViewId="0"/>
  </sheetViews>
  <sheetFormatPr defaultRowHeight="14.4" x14ac:dyDescent="0.3"/>
  <cols>
    <col min="1" max="1" width="18.44140625" bestFit="1" customWidth="1"/>
    <col min="2" max="2" width="16.88671875" bestFit="1" customWidth="1"/>
    <col min="3" max="3" width="10.21875" bestFit="1" customWidth="1"/>
    <col min="4" max="4" width="12.44140625" bestFit="1" customWidth="1"/>
  </cols>
  <sheetData>
    <row r="1" spans="1:4" x14ac:dyDescent="0.3">
      <c r="A1" t="s">
        <v>5</v>
      </c>
      <c r="B1" t="s">
        <v>3</v>
      </c>
      <c r="C1" t="s">
        <v>6</v>
      </c>
      <c r="D1" t="s">
        <v>4</v>
      </c>
    </row>
    <row r="2" spans="1:4" x14ac:dyDescent="0.3">
      <c r="A2">
        <v>1</v>
      </c>
      <c r="B2">
        <v>5084</v>
      </c>
      <c r="C2">
        <v>1409</v>
      </c>
      <c r="D2">
        <v>27.71</v>
      </c>
    </row>
    <row r="3" spans="1:4" x14ac:dyDescent="0.3">
      <c r="A3">
        <v>2</v>
      </c>
      <c r="B3">
        <v>4590</v>
      </c>
      <c r="C3">
        <v>348</v>
      </c>
      <c r="D3">
        <v>7.58</v>
      </c>
    </row>
    <row r="4" spans="1:4" x14ac:dyDescent="0.3">
      <c r="A4">
        <v>3</v>
      </c>
      <c r="B4">
        <v>266</v>
      </c>
      <c r="C4">
        <v>220</v>
      </c>
      <c r="D4">
        <v>82.71</v>
      </c>
    </row>
    <row r="5" spans="1:4" x14ac:dyDescent="0.3">
      <c r="A5">
        <v>4</v>
      </c>
      <c r="B5">
        <v>60</v>
      </c>
      <c r="C5">
        <v>60</v>
      </c>
      <c r="D5">
        <v>100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A192-7ABD-463F-9ED4-9DE327CE0452}">
  <dimension ref="A3:D15"/>
  <sheetViews>
    <sheetView workbookViewId="0">
      <selection activeCell="E7" sqref="E7:N23"/>
    </sheetView>
  </sheetViews>
  <sheetFormatPr defaultRowHeight="14.4" x14ac:dyDescent="0.3"/>
  <cols>
    <col min="1" max="1" width="12.5546875" bestFit="1" customWidth="1"/>
    <col min="2" max="2" width="21.33203125" bestFit="1" customWidth="1"/>
    <col min="3" max="3" width="16.77734375" bestFit="1" customWidth="1"/>
    <col min="4" max="4" width="19.5546875" bestFit="1" customWidth="1"/>
  </cols>
  <sheetData>
    <row r="3" spans="1:4" x14ac:dyDescent="0.3">
      <c r="A3" s="2" t="s">
        <v>26</v>
      </c>
      <c r="B3" t="s">
        <v>30</v>
      </c>
      <c r="C3" t="s">
        <v>31</v>
      </c>
      <c r="D3" t="s">
        <v>29</v>
      </c>
    </row>
    <row r="4" spans="1:4" x14ac:dyDescent="0.3">
      <c r="A4" s="3">
        <v>0</v>
      </c>
      <c r="B4" s="1">
        <v>413</v>
      </c>
      <c r="C4" s="1">
        <v>23</v>
      </c>
      <c r="D4" s="1">
        <v>95</v>
      </c>
    </row>
    <row r="5" spans="1:4" x14ac:dyDescent="0.3">
      <c r="A5" s="3">
        <v>1</v>
      </c>
      <c r="B5" s="1">
        <v>1035</v>
      </c>
      <c r="C5" s="1">
        <v>22.42</v>
      </c>
      <c r="D5" s="1">
        <v>232</v>
      </c>
    </row>
    <row r="6" spans="1:4" x14ac:dyDescent="0.3">
      <c r="A6" s="3">
        <v>2</v>
      </c>
      <c r="B6" s="1">
        <v>1048</v>
      </c>
      <c r="C6" s="1">
        <v>19.18</v>
      </c>
      <c r="D6" s="1">
        <v>201</v>
      </c>
    </row>
    <row r="7" spans="1:4" x14ac:dyDescent="0.3">
      <c r="A7" s="3">
        <v>3</v>
      </c>
      <c r="B7" s="1">
        <v>1009</v>
      </c>
      <c r="C7" s="1">
        <v>21.11</v>
      </c>
      <c r="D7" s="1">
        <v>213</v>
      </c>
    </row>
    <row r="8" spans="1:4" x14ac:dyDescent="0.3">
      <c r="A8" s="3">
        <v>4</v>
      </c>
      <c r="B8" s="1">
        <v>989</v>
      </c>
      <c r="C8" s="1">
        <v>20.53</v>
      </c>
      <c r="D8" s="1">
        <v>203</v>
      </c>
    </row>
    <row r="9" spans="1:4" x14ac:dyDescent="0.3">
      <c r="A9" s="3">
        <v>5</v>
      </c>
      <c r="B9" s="1">
        <v>1012</v>
      </c>
      <c r="C9" s="1">
        <v>20.65</v>
      </c>
      <c r="D9" s="1">
        <v>209</v>
      </c>
    </row>
    <row r="10" spans="1:4" x14ac:dyDescent="0.3">
      <c r="A10" s="3">
        <v>6</v>
      </c>
      <c r="B10" s="1">
        <v>967</v>
      </c>
      <c r="C10" s="1">
        <v>20.27</v>
      </c>
      <c r="D10" s="1">
        <v>196</v>
      </c>
    </row>
    <row r="11" spans="1:4" x14ac:dyDescent="0.3">
      <c r="A11" s="3">
        <v>7</v>
      </c>
      <c r="B11" s="1">
        <v>1028</v>
      </c>
      <c r="C11" s="1">
        <v>17.22</v>
      </c>
      <c r="D11" s="1">
        <v>177</v>
      </c>
    </row>
    <row r="12" spans="1:4" x14ac:dyDescent="0.3">
      <c r="A12" s="3">
        <v>8</v>
      </c>
      <c r="B12" s="1">
        <v>1025</v>
      </c>
      <c r="C12" s="1">
        <v>19.22</v>
      </c>
      <c r="D12" s="1">
        <v>197</v>
      </c>
    </row>
    <row r="13" spans="1:4" x14ac:dyDescent="0.3">
      <c r="A13" s="3">
        <v>9</v>
      </c>
      <c r="B13" s="1">
        <v>984</v>
      </c>
      <c r="C13" s="1">
        <v>21.65</v>
      </c>
      <c r="D13" s="1">
        <v>213</v>
      </c>
    </row>
    <row r="14" spans="1:4" x14ac:dyDescent="0.3">
      <c r="A14" s="3">
        <v>10</v>
      </c>
      <c r="B14" s="1">
        <v>490</v>
      </c>
      <c r="C14" s="1">
        <v>20.61</v>
      </c>
      <c r="D14" s="1">
        <v>101</v>
      </c>
    </row>
    <row r="15" spans="1:4" x14ac:dyDescent="0.3">
      <c r="A15" s="3" t="s">
        <v>27</v>
      </c>
      <c r="B15" s="1">
        <v>10000</v>
      </c>
      <c r="C15" s="1">
        <v>225.86</v>
      </c>
      <c r="D15" s="1">
        <v>2037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9BAD-2F2C-407F-B987-7874B0111407}">
  <dimension ref="A1:D12"/>
  <sheetViews>
    <sheetView workbookViewId="0">
      <selection activeCell="A2" sqref="A2:D12"/>
    </sheetView>
  </sheetViews>
  <sheetFormatPr defaultRowHeight="14.4" x14ac:dyDescent="0.3"/>
  <cols>
    <col min="1" max="1" width="8.77734375" bestFit="1" customWidth="1"/>
    <col min="2" max="2" width="16.88671875" bestFit="1" customWidth="1"/>
    <col min="3" max="3" width="15.109375" bestFit="1" customWidth="1"/>
    <col min="4" max="4" width="12.44140625" bestFit="1" customWidth="1"/>
  </cols>
  <sheetData>
    <row r="1" spans="1:4" x14ac:dyDescent="0.3">
      <c r="A1" t="s">
        <v>2</v>
      </c>
      <c r="B1" t="s">
        <v>3</v>
      </c>
      <c r="C1" t="s">
        <v>0</v>
      </c>
      <c r="D1" t="s">
        <v>4</v>
      </c>
    </row>
    <row r="2" spans="1:4" x14ac:dyDescent="0.3">
      <c r="A2">
        <v>0</v>
      </c>
      <c r="B2">
        <v>413</v>
      </c>
      <c r="C2">
        <v>95</v>
      </c>
      <c r="D2">
        <v>23</v>
      </c>
    </row>
    <row r="3" spans="1:4" x14ac:dyDescent="0.3">
      <c r="A3">
        <v>1</v>
      </c>
      <c r="B3">
        <v>1035</v>
      </c>
      <c r="C3">
        <v>232</v>
      </c>
      <c r="D3">
        <v>22.42</v>
      </c>
    </row>
    <row r="4" spans="1:4" x14ac:dyDescent="0.3">
      <c r="A4">
        <v>2</v>
      </c>
      <c r="B4">
        <v>1048</v>
      </c>
      <c r="C4">
        <v>201</v>
      </c>
      <c r="D4">
        <v>19.18</v>
      </c>
    </row>
    <row r="5" spans="1:4" x14ac:dyDescent="0.3">
      <c r="A5">
        <v>3</v>
      </c>
      <c r="B5">
        <v>1009</v>
      </c>
      <c r="C5">
        <v>213</v>
      </c>
      <c r="D5">
        <v>21.11</v>
      </c>
    </row>
    <row r="6" spans="1:4" x14ac:dyDescent="0.3">
      <c r="A6">
        <v>4</v>
      </c>
      <c r="B6">
        <v>989</v>
      </c>
      <c r="C6">
        <v>203</v>
      </c>
      <c r="D6">
        <v>20.53</v>
      </c>
    </row>
    <row r="7" spans="1:4" x14ac:dyDescent="0.3">
      <c r="A7">
        <v>5</v>
      </c>
      <c r="B7">
        <v>1012</v>
      </c>
      <c r="C7">
        <v>209</v>
      </c>
      <c r="D7">
        <v>20.65</v>
      </c>
    </row>
    <row r="8" spans="1:4" x14ac:dyDescent="0.3">
      <c r="A8">
        <v>6</v>
      </c>
      <c r="B8">
        <v>967</v>
      </c>
      <c r="C8">
        <v>196</v>
      </c>
      <c r="D8">
        <v>20.27</v>
      </c>
    </row>
    <row r="9" spans="1:4" x14ac:dyDescent="0.3">
      <c r="A9">
        <v>7</v>
      </c>
      <c r="B9">
        <v>1028</v>
      </c>
      <c r="C9">
        <v>177</v>
      </c>
      <c r="D9">
        <v>17.22</v>
      </c>
    </row>
    <row r="10" spans="1:4" x14ac:dyDescent="0.3">
      <c r="A10">
        <v>8</v>
      </c>
      <c r="B10">
        <v>1025</v>
      </c>
      <c r="C10">
        <v>197</v>
      </c>
      <c r="D10">
        <v>19.22</v>
      </c>
    </row>
    <row r="11" spans="1:4" x14ac:dyDescent="0.3">
      <c r="A11">
        <v>9</v>
      </c>
      <c r="B11">
        <v>984</v>
      </c>
      <c r="C11">
        <v>213</v>
      </c>
      <c r="D11">
        <v>21.65</v>
      </c>
    </row>
    <row r="12" spans="1:4" x14ac:dyDescent="0.3">
      <c r="A12">
        <v>10</v>
      </c>
      <c r="B12">
        <v>490</v>
      </c>
      <c r="C12">
        <v>101</v>
      </c>
      <c r="D12">
        <v>20.61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F8D4-CE76-4033-AE41-0F3D2497B1A3}">
  <dimension ref="A3:B4"/>
  <sheetViews>
    <sheetView workbookViewId="0">
      <selection activeCell="B7" sqref="B7:K25"/>
    </sheetView>
  </sheetViews>
  <sheetFormatPr defaultRowHeight="14.4" x14ac:dyDescent="0.3"/>
  <cols>
    <col min="1" max="1" width="27.5546875" bestFit="1" customWidth="1"/>
    <col min="2" max="2" width="19.5546875" bestFit="1" customWidth="1"/>
    <col min="3" max="3" width="10.77734375" bestFit="1" customWidth="1"/>
  </cols>
  <sheetData>
    <row r="3" spans="1:2" x14ac:dyDescent="0.3">
      <c r="A3" t="s">
        <v>28</v>
      </c>
      <c r="B3" t="s">
        <v>29</v>
      </c>
    </row>
    <row r="4" spans="1:2" x14ac:dyDescent="0.3">
      <c r="A4" s="1">
        <v>20.37</v>
      </c>
      <c r="B4" s="1">
        <v>2037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D35D-1CAF-4979-B646-933B477650E3}">
  <dimension ref="A1:B2"/>
  <sheetViews>
    <sheetView workbookViewId="0"/>
  </sheetViews>
  <sheetFormatPr defaultRowHeight="14.4" x14ac:dyDescent="0.3"/>
  <cols>
    <col min="1" max="1" width="15.109375" bestFit="1" customWidth="1"/>
    <col min="2" max="2" width="23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2037</v>
      </c>
      <c r="B2">
        <v>20.37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66C3-27D6-4B6B-B531-00D67CC941D6}">
  <dimension ref="B1:P3"/>
  <sheetViews>
    <sheetView showGridLines="0" tabSelected="1" zoomScale="70" zoomScaleNormal="70" workbookViewId="0">
      <selection activeCell="U29" sqref="U29"/>
    </sheetView>
  </sheetViews>
  <sheetFormatPr defaultRowHeight="14.4" x14ac:dyDescent="0.3"/>
  <sheetData>
    <row r="1" spans="2:16" x14ac:dyDescent="0.3">
      <c r="B1" s="5" t="s">
        <v>34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</sheetData>
  <mergeCells count="1">
    <mergeCell ref="B1:P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D17448-D808-4032-BB96-D87D94EA76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Sheet12</vt:lpstr>
      <vt:lpstr>Active number vs churn</vt:lpstr>
      <vt:lpstr>Age group vs churn pivot</vt:lpstr>
      <vt:lpstr>Age group vs churn</vt:lpstr>
      <vt:lpstr>balance vs churn pivot</vt:lpstr>
      <vt:lpstr>balance vs churn</vt:lpstr>
      <vt:lpstr>Sheet7</vt:lpstr>
      <vt:lpstr>country wise churn</vt:lpstr>
      <vt:lpstr>credit card vs churnpivot</vt:lpstr>
      <vt:lpstr>Credit card vs churn</vt:lpstr>
      <vt:lpstr>Gender wise churn pivot</vt:lpstr>
      <vt:lpstr>gender wise churn</vt:lpstr>
      <vt:lpstr>product number vs churnpivot</vt:lpstr>
      <vt:lpstr>product number vs churn</vt:lpstr>
      <vt:lpstr>tenure vs churn pivot</vt:lpstr>
      <vt:lpstr>Tenure vs churn</vt:lpstr>
      <vt:lpstr>tct pivot</vt:lpstr>
      <vt:lpstr>Total churned customers&amp;chrun 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devadharshu12@gmail.com</dc:creator>
  <cp:lastModifiedBy>devadharshu12@gmail.com</cp:lastModifiedBy>
  <dcterms:created xsi:type="dcterms:W3CDTF">2026-03-11T09:39:53Z</dcterms:created>
  <dcterms:modified xsi:type="dcterms:W3CDTF">2026-03-11T11:03:16Z</dcterms:modified>
</cp:coreProperties>
</file>